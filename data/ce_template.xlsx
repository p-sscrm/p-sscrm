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pjmorris/github/CSC630_PSSCRM_Data_Collection/data/"/>
    </mc:Choice>
  </mc:AlternateContent>
  <xr:revisionPtr revIDLastSave="0" documentId="13_ncr:1_{CD71B3F9-AC35-374C-84C1-09789F94309B}" xr6:coauthVersionLast="47" xr6:coauthVersionMax="47" xr10:uidLastSave="{00000000-0000-0000-0000-000000000000}"/>
  <bookViews>
    <workbookView xWindow="6500" yWindow="1160" windowWidth="34560" windowHeight="19880" xr2:uid="{00000000-000D-0000-FFFF-FFFF00000000}"/>
  </bookViews>
  <sheets>
    <sheet name="DataEntry" sheetId="1" r:id="rId1"/>
    <sheet name="lookups" sheetId="2" state="hidden" r:id="rId2"/>
    <sheet name="psscrm"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3" l="1"/>
  <c r="B14" i="3"/>
  <c r="B13" i="3"/>
  <c r="B12" i="3"/>
  <c r="B11" i="3"/>
  <c r="B10" i="3"/>
  <c r="B9" i="3"/>
  <c r="B8" i="3"/>
  <c r="B6" i="3"/>
  <c r="B7" i="3"/>
  <c r="B4" i="3"/>
  <c r="D106" i="1"/>
  <c r="D105" i="1"/>
  <c r="D103" i="1"/>
  <c r="D102" i="1"/>
  <c r="D101" i="1"/>
  <c r="D100" i="1"/>
  <c r="D99" i="1"/>
  <c r="D98" i="1"/>
  <c r="E97" i="1"/>
  <c r="D95" i="1"/>
  <c r="D94" i="1"/>
  <c r="D93" i="1"/>
  <c r="D92" i="1"/>
  <c r="E85" i="1" s="1"/>
  <c r="D91" i="1"/>
  <c r="D90" i="1"/>
  <c r="D89" i="1"/>
  <c r="D88" i="1"/>
  <c r="D87" i="1"/>
  <c r="D86" i="1"/>
  <c r="D84" i="1"/>
  <c r="D83" i="1"/>
  <c r="D82" i="1"/>
  <c r="D81" i="1"/>
  <c r="D80" i="1"/>
  <c r="D79" i="1"/>
  <c r="D78" i="1"/>
  <c r="E77" i="1" s="1"/>
  <c r="D76" i="1"/>
  <c r="D75" i="1"/>
  <c r="D74" i="1"/>
  <c r="D73" i="1"/>
  <c r="D72" i="1"/>
  <c r="D71" i="1"/>
  <c r="E70" i="1"/>
  <c r="D68" i="1"/>
  <c r="D67" i="1"/>
  <c r="D65" i="1"/>
  <c r="D64" i="1"/>
  <c r="D63" i="1"/>
  <c r="D62" i="1"/>
  <c r="D61" i="1"/>
  <c r="E60" i="1" s="1"/>
  <c r="D59" i="1"/>
  <c r="D58" i="1"/>
  <c r="D57" i="1"/>
  <c r="D56" i="1"/>
  <c r="D55" i="1"/>
  <c r="E54" i="1"/>
  <c r="D53" i="1"/>
  <c r="D52" i="1"/>
  <c r="D51" i="1"/>
  <c r="D50" i="1"/>
  <c r="D49" i="1"/>
  <c r="E48" i="1" s="1"/>
  <c r="D47" i="1"/>
  <c r="E45" i="1" s="1"/>
  <c r="D46" i="1"/>
  <c r="D43" i="1"/>
  <c r="D42" i="1"/>
  <c r="D41" i="1"/>
  <c r="D40" i="1"/>
  <c r="E39" i="1"/>
  <c r="D38" i="1"/>
  <c r="D37" i="1"/>
  <c r="D36" i="1"/>
  <c r="D34" i="1"/>
  <c r="E29" i="1" s="1"/>
  <c r="D33" i="1"/>
  <c r="D32" i="1"/>
  <c r="D31" i="1"/>
  <c r="D30" i="1"/>
  <c r="D28" i="1"/>
  <c r="D27" i="1"/>
  <c r="D26" i="1"/>
  <c r="D25" i="1"/>
  <c r="D24" i="1"/>
  <c r="D23" i="1"/>
  <c r="D21" i="1"/>
  <c r="D20" i="1"/>
  <c r="D19" i="1"/>
  <c r="D18" i="1"/>
  <c r="D17" i="1"/>
  <c r="E35" i="1" l="1"/>
  <c r="B5" i="3" s="1"/>
  <c r="E22" i="1"/>
  <c r="B3" i="3" s="1"/>
  <c r="E16" i="1"/>
  <c r="B2" i="3" s="1"/>
  <c r="E104" i="1"/>
  <c r="B16" i="3" s="1"/>
  <c r="E66" i="1"/>
</calcChain>
</file>

<file path=xl/sharedStrings.xml><?xml version="1.0" encoding="utf-8"?>
<sst xmlns="http://schemas.openxmlformats.org/spreadsheetml/2006/main" count="123" uniqueCount="107">
  <si>
    <t>Using a completed P-SSCRM questionnaire, or your own estimates,</t>
  </si>
  <si>
    <t>select the best answer from the dropdown in the answer column</t>
  </si>
  <si>
    <t>Company Id:</t>
  </si>
  <si>
    <t>Assessment Date:</t>
  </si>
  <si>
    <t>Team/Application:</t>
  </si>
  <si>
    <t>Assessor(s):</t>
  </si>
  <si>
    <t>Contributor(s):</t>
  </si>
  <si>
    <t>Answer</t>
  </si>
  <si>
    <t>Score</t>
  </si>
  <si>
    <t>Governance</t>
  </si>
  <si>
    <t>G.1 Perform compliance</t>
  </si>
  <si>
    <t>G.1.1 Organizational security requirements</t>
  </si>
  <si>
    <t>G.1.2 Software license conflict</t>
  </si>
  <si>
    <t>G.1.3 Produce attestation</t>
  </si>
  <si>
    <t>G.1.4 Deliver provenance</t>
  </si>
  <si>
    <t>G.1.5 Deliver SBOM</t>
  </si>
  <si>
    <t>G.2 Develop security policies</t>
  </si>
  <si>
    <t>G.2.1 Upper management support</t>
  </si>
  <si>
    <t>G.2.2 Secure SDLC checks</t>
  </si>
  <si>
    <t>G.2.3 Roles and responsibilities</t>
  </si>
  <si>
    <t>G.2.4 Security code review policy</t>
  </si>
  <si>
    <t>G.2.5 Asset inventory</t>
  </si>
  <si>
    <t>G.2.6 Protection of information at rest</t>
  </si>
  <si>
    <t>G.3 Manage suppliers</t>
  </si>
  <si>
    <t>G.3.1 Security-related contract terms</t>
  </si>
  <si>
    <t>G.3.2 Separation of duties</t>
  </si>
  <si>
    <t>G.3.3 Information disclosure</t>
  </si>
  <si>
    <t>G.3.4 Session audits</t>
  </si>
  <si>
    <t>G.3.5 Notification agreement</t>
  </si>
  <si>
    <t>G.4 Training</t>
  </si>
  <si>
    <t>G.4.1 Role-based training</t>
  </si>
  <si>
    <t>G.4.2 Contingency training</t>
  </si>
  <si>
    <t>G.4.3 Gather attack trends</t>
  </si>
  <si>
    <t>G.5 Assess and manage risk</t>
  </si>
  <si>
    <t>G.5.1 Criticality analysis</t>
  </si>
  <si>
    <t>G.5.2 Track security risks and decisions</t>
  </si>
  <si>
    <t>G.5.3 Security metrics</t>
  </si>
  <si>
    <t>G.5.4 Data-informed product decisions</t>
  </si>
  <si>
    <t>Product</t>
  </si>
  <si>
    <t>P.1 Develop security requirements</t>
  </si>
  <si>
    <t>P.1.1 Product security requirements</t>
  </si>
  <si>
    <t>P.1.2 Software release integrity</t>
  </si>
  <si>
    <t>P.2 Build security in</t>
  </si>
  <si>
    <t>P.2.1 Security design review</t>
  </si>
  <si>
    <t>P.2.2 Secure coding</t>
  </si>
  <si>
    <t>P.2.3 Secure-by-default implementation</t>
  </si>
  <si>
    <t>P.2.4 Standard security features</t>
  </si>
  <si>
    <t>P.2.5 In-house components</t>
  </si>
  <si>
    <t>P.3 Manage component and container choices</t>
  </si>
  <si>
    <t>P.3.1 Component and container choice</t>
  </si>
  <si>
    <t>P.3.2 Trusted repositories</t>
  </si>
  <si>
    <t>P.3.3 Require signed commits</t>
  </si>
  <si>
    <t>P.3.4 Vetted third-party component and container repositories</t>
  </si>
  <si>
    <t>P.3.5 Prevent component vetting bypass</t>
  </si>
  <si>
    <t>P.4 Discover vulnerabilities</t>
  </si>
  <si>
    <t>P.4.1 Security code review</t>
  </si>
  <si>
    <t>P.4.2 Automated security scanning tools</t>
  </si>
  <si>
    <t>P.4.3 Automated vulnerability detection</t>
  </si>
  <si>
    <t>P.4.4 Executable security testing</t>
  </si>
  <si>
    <t>P.4.5 Regular third-party compliance</t>
  </si>
  <si>
    <t>P.5 Manage vulnerable components and containers</t>
  </si>
  <si>
    <t>P.5.1 SBOM consumption</t>
  </si>
  <si>
    <t>P.5.2 Dependency update</t>
  </si>
  <si>
    <t>Environment</t>
  </si>
  <si>
    <t>E.1 Safeguard artifact integrity</t>
  </si>
  <si>
    <t>E.1.1 Safely store release artifacts</t>
  </si>
  <si>
    <t>E.1.2 Version control</t>
  </si>
  <si>
    <t>E.1.3 Multi-factor authentication (MFA)</t>
  </si>
  <si>
    <t>E.1.4 Developer SSH key</t>
  </si>
  <si>
    <t>E.1.5 Branch protection</t>
  </si>
  <si>
    <t>E.1.6 Decommission assets</t>
  </si>
  <si>
    <t>E.2 Safeguard build integrity</t>
  </si>
  <si>
    <t>E.2.1 Release policy verification</t>
  </si>
  <si>
    <t>E.2.2 Verify dependencies and environment</t>
  </si>
  <si>
    <t>E.2.3 Defensive compilation and build</t>
  </si>
  <si>
    <t>E.2.4 CI/CD hosting and automation</t>
  </si>
  <si>
    <t>E.2.5 Secured orchestration platform</t>
  </si>
  <si>
    <t>E.2.6 Reproducible builds</t>
  </si>
  <si>
    <t>E.2.7 Build output</t>
  </si>
  <si>
    <t>E.3 Secure software development environment</t>
  </si>
  <si>
    <t>E.3.1 Authentication</t>
  </si>
  <si>
    <t>E.3.2 Environmental separation</t>
  </si>
  <si>
    <t>E.3.3 Role-based access control</t>
  </si>
  <si>
    <t>E.3.4 Information flow enforcement</t>
  </si>
  <si>
    <t>E.3.5 Baseline configuration</t>
  </si>
  <si>
    <t>E.3.6 Monitor changes to configuration settings</t>
  </si>
  <si>
    <t>E.3.7 Boundary protection</t>
  </si>
  <si>
    <t>E.3.8 Key rotation</t>
  </si>
  <si>
    <t>E.3.9 Ephemeral credentials</t>
  </si>
  <si>
    <t>E.3.10 Establish a root of trust</t>
  </si>
  <si>
    <t>Deployment</t>
  </si>
  <si>
    <t>D.1 Respond to/disclose vulnerabilities</t>
  </si>
  <si>
    <t>D.1.1 Vulnerability analysis</t>
  </si>
  <si>
    <t>D.1.2 Risk-based vulnerability remediation</t>
  </si>
  <si>
    <t>D.1.3 Vulnerability disclosure</t>
  </si>
  <si>
    <t>D.1.4 Vulnerability eradication</t>
  </si>
  <si>
    <t>D.1.5 Emergency artifact fix</t>
  </si>
  <si>
    <t>D.1.6 Root cause analysis</t>
  </si>
  <si>
    <t>D.2 Monitor intrusions/violations</t>
  </si>
  <si>
    <t>D.2.1 System monitoring</t>
  </si>
  <si>
    <t>D.2.2 Build process monitoring</t>
  </si>
  <si>
    <t>No</t>
  </si>
  <si>
    <t>Emerging</t>
  </si>
  <si>
    <t>Progress Being Made</t>
  </si>
  <si>
    <t>Almost There</t>
  </si>
  <si>
    <t>Funded</t>
  </si>
  <si>
    <t>Practice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</si>
</sst>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22"/>
      <color rgb="FFF5DEB3"/>
      <name val="Arial"/>
      <family val="2"/>
    </font>
    <font>
      <sz val="16"/>
      <color rgb="FFFFFFFF"/>
      <name val="Arial"/>
      <family val="2"/>
    </font>
    <font>
      <sz val="14"/>
      <color theme="1"/>
      <name val="Calibri"/>
      <family val="2"/>
      <scheme val="minor"/>
    </font>
  </fonts>
  <fills count="3">
    <fill>
      <patternFill patternType="none"/>
    </fill>
    <fill>
      <patternFill patternType="gray125"/>
    </fill>
    <fill>
      <patternFill patternType="solid">
        <fgColor rgb="FF000A8B"/>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0" xfId="0" applyFont="1"/>
    <xf numFmtId="0" fontId="2" fillId="2" borderId="0" xfId="0" applyFont="1" applyFill="1"/>
    <xf numFmtId="0" fontId="3" fillId="0" borderId="0" xfId="0" applyFont="1"/>
    <xf numFmtId="0" fontId="3"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P-SSCRM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strRef>
              <c:f>psscrm!$B$1</c:f>
              <c:strCache>
                <c:ptCount val="1"/>
                <c:pt idx="0">
                  <c:v>Score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psscrm!$A$2:$A$16</c:f>
              <c:strCache>
                <c:ptCount val="15"/>
                <c:pt idx="0">
                  <c:v>G.1 Perform compliance</c:v>
                </c:pt>
                <c:pt idx="1">
                  <c:v>G.2 Develop security policies</c:v>
                </c:pt>
                <c:pt idx="2">
                  <c:v>G.3 Manage suppliers</c:v>
                </c:pt>
                <c:pt idx="3">
                  <c:v>G.4 Training</c:v>
                </c:pt>
                <c:pt idx="4">
                  <c:v>G.5 Assess and manage risk</c:v>
                </c:pt>
                <c:pt idx="5">
                  <c:v>P.1 Develop security requirements</c:v>
                </c:pt>
                <c:pt idx="6">
                  <c:v>P.2 Build security in</c:v>
                </c:pt>
                <c:pt idx="7">
                  <c:v>P.3 Manage component and container choices</c:v>
                </c:pt>
                <c:pt idx="8">
                  <c:v>P.4 Discover vulnerabilities</c:v>
                </c:pt>
                <c:pt idx="9">
                  <c:v>P.5 Manage vulnerable components and containers</c:v>
                </c:pt>
                <c:pt idx="10">
                  <c:v>E.1 Safeguard artifact integrity</c:v>
                </c:pt>
                <c:pt idx="11">
                  <c:v>E.2 Safeguard build integrity</c:v>
                </c:pt>
                <c:pt idx="12">
                  <c:v>E.3 Secure software development environment</c:v>
                </c:pt>
                <c:pt idx="13">
                  <c:v>D.1 Respond to/disclose vulnerabilities</c:v>
                </c:pt>
                <c:pt idx="14">
                  <c:v>D.2 Monitor intrusions/violations</c:v>
                </c:pt>
              </c:strCache>
            </c:strRef>
          </c:cat>
          <c:val>
            <c:numRef>
              <c:f>psscrm!$B$2:$B$16</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0-5702-944B-B97A-A5976022D1B9}"/>
            </c:ext>
          </c:extLst>
        </c:ser>
        <c:dLbls>
          <c:showLegendKey val="0"/>
          <c:showVal val="0"/>
          <c:showCatName val="0"/>
          <c:showSerName val="0"/>
          <c:showPercent val="0"/>
          <c:showBubbleSize val="0"/>
        </c:dLbls>
        <c:axId val="447199472"/>
        <c:axId val="447201184"/>
      </c:radarChart>
      <c:catAx>
        <c:axId val="447199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201184"/>
        <c:crosses val="autoZero"/>
        <c:auto val="1"/>
        <c:lblAlgn val="ctr"/>
        <c:lblOffset val="100"/>
        <c:noMultiLvlLbl val="0"/>
      </c:catAx>
      <c:valAx>
        <c:axId val="447201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199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615950</xdr:colOff>
      <xdr:row>4</xdr:row>
      <xdr:rowOff>12700</xdr:rowOff>
    </xdr:from>
    <xdr:to>
      <xdr:col>16</xdr:col>
      <xdr:colOff>457200</xdr:colOff>
      <xdr:row>29</xdr:row>
      <xdr:rowOff>12700</xdr:rowOff>
    </xdr:to>
    <xdr:graphicFrame macro="">
      <xdr:nvGraphicFramePr>
        <xdr:cNvPr id="4" name="Chart 3">
          <a:extLst>
            <a:ext uri="{FF2B5EF4-FFF2-40B4-BE49-F238E27FC236}">
              <a16:creationId xmlns:a16="http://schemas.microsoft.com/office/drawing/2014/main" id="{03F9B9C0-E55D-E577-AA65-75DA88C02A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6"/>
  <sheetViews>
    <sheetView tabSelected="1" zoomScaleNormal="100" workbookViewId="0">
      <selection activeCell="A10" sqref="A10"/>
    </sheetView>
  </sheetViews>
  <sheetFormatPr baseColWidth="10" defaultColWidth="8.83203125" defaultRowHeight="15" x14ac:dyDescent="0.2"/>
  <cols>
    <col min="1" max="1" width="14.5" customWidth="1"/>
    <col min="2" max="2" width="60" customWidth="1"/>
  </cols>
  <sheetData>
    <row r="1" spans="1:5" ht="19" x14ac:dyDescent="0.25">
      <c r="B1" s="3" t="s">
        <v>0</v>
      </c>
    </row>
    <row r="2" spans="1:5" ht="19" x14ac:dyDescent="0.25">
      <c r="B2" s="3" t="s">
        <v>1</v>
      </c>
    </row>
    <row r="3" spans="1:5" ht="19" x14ac:dyDescent="0.25">
      <c r="A3" s="3"/>
      <c r="B3" s="3"/>
    </row>
    <row r="4" spans="1:5" ht="19" x14ac:dyDescent="0.25">
      <c r="A4" s="4" t="s">
        <v>2</v>
      </c>
      <c r="B4" s="4"/>
    </row>
    <row r="5" spans="1:5" ht="19" x14ac:dyDescent="0.25">
      <c r="A5" s="4" t="s">
        <v>3</v>
      </c>
      <c r="B5" s="4"/>
    </row>
    <row r="6" spans="1:5" ht="19" x14ac:dyDescent="0.25">
      <c r="A6" s="4" t="s">
        <v>4</v>
      </c>
      <c r="B6" s="4"/>
    </row>
    <row r="7" spans="1:5" ht="19" x14ac:dyDescent="0.25">
      <c r="A7" s="4" t="s">
        <v>5</v>
      </c>
      <c r="B7" s="4"/>
    </row>
    <row r="8" spans="1:5" ht="19" x14ac:dyDescent="0.25">
      <c r="A8" s="4" t="s">
        <v>6</v>
      </c>
      <c r="B8" s="4"/>
    </row>
    <row r="9" spans="1:5" ht="19" x14ac:dyDescent="0.25">
      <c r="A9" s="4"/>
      <c r="B9" s="4"/>
    </row>
    <row r="10" spans="1:5" ht="19" x14ac:dyDescent="0.25">
      <c r="A10" s="4"/>
      <c r="B10" s="4"/>
    </row>
    <row r="14" spans="1:5" x14ac:dyDescent="0.2">
      <c r="C14" t="s">
        <v>7</v>
      </c>
      <c r="D14" t="s">
        <v>8</v>
      </c>
    </row>
    <row r="15" spans="1:5" ht="28" x14ac:dyDescent="0.3">
      <c r="A15" s="1" t="s">
        <v>9</v>
      </c>
    </row>
    <row r="16" spans="1:5" ht="20" x14ac:dyDescent="0.2">
      <c r="B16" s="2" t="s">
        <v>10</v>
      </c>
      <c r="E16">
        <f>AVERAGE(DataEntry!17:21)</f>
        <v>0</v>
      </c>
    </row>
    <row r="17" spans="2:5" x14ac:dyDescent="0.2">
      <c r="B17" t="s">
        <v>11</v>
      </c>
      <c r="D17">
        <f>IFERROR(VLOOKUP(C17,lookups!$A$1:$B$5,2,FALSE),0)</f>
        <v>0</v>
      </c>
    </row>
    <row r="18" spans="2:5" x14ac:dyDescent="0.2">
      <c r="B18" t="s">
        <v>12</v>
      </c>
      <c r="D18">
        <f>IFERROR(VLOOKUP(C18,lookups!$A$1:$B$5,2,FALSE),0)</f>
        <v>0</v>
      </c>
    </row>
    <row r="19" spans="2:5" x14ac:dyDescent="0.2">
      <c r="B19" t="s">
        <v>13</v>
      </c>
      <c r="D19">
        <f>IFERROR(VLOOKUP(C19,lookups!$A$1:$B$5,2,FALSE),0)</f>
        <v>0</v>
      </c>
    </row>
    <row r="20" spans="2:5" x14ac:dyDescent="0.2">
      <c r="B20" t="s">
        <v>14</v>
      </c>
      <c r="D20">
        <f>IFERROR(VLOOKUP(C20,lookups!$A$1:$B$5,2,FALSE),0)</f>
        <v>0</v>
      </c>
    </row>
    <row r="21" spans="2:5" x14ac:dyDescent="0.2">
      <c r="B21" t="s">
        <v>15</v>
      </c>
      <c r="D21">
        <f>IFERROR(VLOOKUP(C21,lookups!$A$1:$B$5,2,FALSE),0)</f>
        <v>0</v>
      </c>
    </row>
    <row r="22" spans="2:5" ht="20" x14ac:dyDescent="0.2">
      <c r="B22" s="2" t="s">
        <v>16</v>
      </c>
      <c r="E22">
        <f>AVERAGE(DataEntry!23:28)</f>
        <v>0</v>
      </c>
    </row>
    <row r="23" spans="2:5" x14ac:dyDescent="0.2">
      <c r="B23" t="s">
        <v>17</v>
      </c>
      <c r="D23">
        <f>IFERROR(VLOOKUP(C23,lookups!$A$1:$B$5,2,FALSE),0)</f>
        <v>0</v>
      </c>
    </row>
    <row r="24" spans="2:5" x14ac:dyDescent="0.2">
      <c r="B24" t="s">
        <v>18</v>
      </c>
      <c r="D24">
        <f>IFERROR(VLOOKUP(C24,lookups!$A$1:$B$5,2,FALSE),0)</f>
        <v>0</v>
      </c>
    </row>
    <row r="25" spans="2:5" x14ac:dyDescent="0.2">
      <c r="B25" t="s">
        <v>19</v>
      </c>
      <c r="D25">
        <f>IFERROR(VLOOKUP(C25,lookups!$A$1:$B$5,2,FALSE),0)</f>
        <v>0</v>
      </c>
    </row>
    <row r="26" spans="2:5" x14ac:dyDescent="0.2">
      <c r="B26" t="s">
        <v>20</v>
      </c>
      <c r="D26">
        <f>IFERROR(VLOOKUP(C26,lookups!$A$1:$B$5,2,FALSE),0)</f>
        <v>0</v>
      </c>
    </row>
    <row r="27" spans="2:5" x14ac:dyDescent="0.2">
      <c r="B27" t="s">
        <v>21</v>
      </c>
      <c r="D27">
        <f>IFERROR(VLOOKUP(C27,lookups!$A$1:$B$5,2,FALSE),0)</f>
        <v>0</v>
      </c>
    </row>
    <row r="28" spans="2:5" x14ac:dyDescent="0.2">
      <c r="B28" t="s">
        <v>22</v>
      </c>
      <c r="D28">
        <f>IFERROR(VLOOKUP(C28,lookups!$A$1:$B$5,2,FALSE),0)</f>
        <v>0</v>
      </c>
    </row>
    <row r="29" spans="2:5" ht="20" x14ac:dyDescent="0.2">
      <c r="B29" s="2" t="s">
        <v>23</v>
      </c>
      <c r="E29">
        <f>AVERAGE(DataEntry!30:34)</f>
        <v>0</v>
      </c>
    </row>
    <row r="30" spans="2:5" x14ac:dyDescent="0.2">
      <c r="B30" t="s">
        <v>24</v>
      </c>
      <c r="D30">
        <f>IFERROR(VLOOKUP(C30,lookups!$A$1:$B$5,2,FALSE),0)</f>
        <v>0</v>
      </c>
    </row>
    <row r="31" spans="2:5" x14ac:dyDescent="0.2">
      <c r="B31" t="s">
        <v>25</v>
      </c>
      <c r="D31">
        <f>IFERROR(VLOOKUP(C31,lookups!$A$1:$B$5,2,FALSE),0)</f>
        <v>0</v>
      </c>
    </row>
    <row r="32" spans="2:5" x14ac:dyDescent="0.2">
      <c r="B32" t="s">
        <v>26</v>
      </c>
      <c r="D32">
        <f>IFERROR(VLOOKUP(C32,lookups!$A$1:$B$5,2,FALSE),0)</f>
        <v>0</v>
      </c>
    </row>
    <row r="33" spans="1:5" x14ac:dyDescent="0.2">
      <c r="B33" t="s">
        <v>27</v>
      </c>
      <c r="D33">
        <f>IFERROR(VLOOKUP(C33,lookups!$A$1:$B$5,2,FALSE),0)</f>
        <v>0</v>
      </c>
    </row>
    <row r="34" spans="1:5" x14ac:dyDescent="0.2">
      <c r="B34" t="s">
        <v>28</v>
      </c>
      <c r="D34">
        <f>IFERROR(VLOOKUP(C34,lookups!$A$1:$B$5,2,FALSE),0)</f>
        <v>0</v>
      </c>
    </row>
    <row r="35" spans="1:5" ht="20" x14ac:dyDescent="0.2">
      <c r="B35" s="2" t="s">
        <v>29</v>
      </c>
      <c r="E35">
        <f>AVERAGE(DataEntry!36:38)</f>
        <v>0</v>
      </c>
    </row>
    <row r="36" spans="1:5" x14ac:dyDescent="0.2">
      <c r="B36" t="s">
        <v>30</v>
      </c>
      <c r="D36">
        <f>IFERROR(VLOOKUP(C36,lookups!$A$1:$B$5,2,FALSE),0)</f>
        <v>0</v>
      </c>
    </row>
    <row r="37" spans="1:5" x14ac:dyDescent="0.2">
      <c r="B37" t="s">
        <v>31</v>
      </c>
      <c r="D37">
        <f>IFERROR(VLOOKUP(C37,lookups!$A$1:$B$5,2,FALSE),0)</f>
        <v>0</v>
      </c>
    </row>
    <row r="38" spans="1:5" x14ac:dyDescent="0.2">
      <c r="B38" t="s">
        <v>32</v>
      </c>
      <c r="D38">
        <f>IFERROR(VLOOKUP(C38,lookups!$A$1:$B$5,2,FALSE),0)</f>
        <v>0</v>
      </c>
    </row>
    <row r="39" spans="1:5" ht="20" x14ac:dyDescent="0.2">
      <c r="B39" s="2" t="s">
        <v>33</v>
      </c>
      <c r="E39">
        <f>AVERAGE(DataEntry!40:43)</f>
        <v>0</v>
      </c>
    </row>
    <row r="40" spans="1:5" x14ac:dyDescent="0.2">
      <c r="B40" t="s">
        <v>34</v>
      </c>
      <c r="D40">
        <f>IFERROR(VLOOKUP(C40,lookups!$A$1:$B$5,2,FALSE),0)</f>
        <v>0</v>
      </c>
    </row>
    <row r="41" spans="1:5" x14ac:dyDescent="0.2">
      <c r="B41" t="s">
        <v>35</v>
      </c>
      <c r="D41">
        <f>IFERROR(VLOOKUP(C41,lookups!$A$1:$B$5,2,FALSE),0)</f>
        <v>0</v>
      </c>
    </row>
    <row r="42" spans="1:5" x14ac:dyDescent="0.2">
      <c r="B42" t="s">
        <v>36</v>
      </c>
      <c r="D42">
        <f>IFERROR(VLOOKUP(C42,lookups!$A$1:$B$5,2,FALSE),0)</f>
        <v>0</v>
      </c>
    </row>
    <row r="43" spans="1:5" x14ac:dyDescent="0.2">
      <c r="B43" t="s">
        <v>37</v>
      </c>
      <c r="D43">
        <f>IFERROR(VLOOKUP(C43,lookups!$A$1:$B$5,2,FALSE),0)</f>
        <v>0</v>
      </c>
    </row>
    <row r="44" spans="1:5" ht="28" x14ac:dyDescent="0.3">
      <c r="A44" s="1" t="s">
        <v>38</v>
      </c>
    </row>
    <row r="45" spans="1:5" ht="20" x14ac:dyDescent="0.2">
      <c r="B45" s="2" t="s">
        <v>39</v>
      </c>
      <c r="E45">
        <f>AVERAGE(DataEntry!46:47)</f>
        <v>0</v>
      </c>
    </row>
    <row r="46" spans="1:5" x14ac:dyDescent="0.2">
      <c r="B46" t="s">
        <v>40</v>
      </c>
      <c r="D46">
        <f>IFERROR(VLOOKUP(C46,lookups!$A$1:$B$5,2,FALSE),0)</f>
        <v>0</v>
      </c>
    </row>
    <row r="47" spans="1:5" x14ac:dyDescent="0.2">
      <c r="B47" t="s">
        <v>41</v>
      </c>
      <c r="D47">
        <f>IFERROR(VLOOKUP(C47,lookups!$A$1:$B$5,2,FALSE),0)</f>
        <v>0</v>
      </c>
    </row>
    <row r="48" spans="1:5" ht="20" x14ac:dyDescent="0.2">
      <c r="B48" s="2" t="s">
        <v>42</v>
      </c>
      <c r="E48">
        <f>AVERAGE(DataEntry!49:53)</f>
        <v>0</v>
      </c>
    </row>
    <row r="49" spans="2:5" x14ac:dyDescent="0.2">
      <c r="B49" t="s">
        <v>43</v>
      </c>
      <c r="D49">
        <f>IFERROR(VLOOKUP(C49,lookups!$A$1:$B$5,2,FALSE),0)</f>
        <v>0</v>
      </c>
    </row>
    <row r="50" spans="2:5" x14ac:dyDescent="0.2">
      <c r="B50" t="s">
        <v>44</v>
      </c>
      <c r="D50">
        <f>IFERROR(VLOOKUP(C50,lookups!$A$1:$B$5,2,FALSE),0)</f>
        <v>0</v>
      </c>
    </row>
    <row r="51" spans="2:5" x14ac:dyDescent="0.2">
      <c r="B51" t="s">
        <v>45</v>
      </c>
      <c r="D51">
        <f>IFERROR(VLOOKUP(C51,lookups!$A$1:$B$5,2,FALSE),0)</f>
        <v>0</v>
      </c>
    </row>
    <row r="52" spans="2:5" x14ac:dyDescent="0.2">
      <c r="B52" t="s">
        <v>46</v>
      </c>
      <c r="D52">
        <f>IFERROR(VLOOKUP(C52,lookups!$A$1:$B$5,2,FALSE),0)</f>
        <v>0</v>
      </c>
    </row>
    <row r="53" spans="2:5" x14ac:dyDescent="0.2">
      <c r="B53" t="s">
        <v>47</v>
      </c>
      <c r="D53">
        <f>IFERROR(VLOOKUP(C53,lookups!$A$1:$B$5,2,FALSE),0)</f>
        <v>0</v>
      </c>
    </row>
    <row r="54" spans="2:5" ht="20" x14ac:dyDescent="0.2">
      <c r="B54" s="2" t="s">
        <v>48</v>
      </c>
      <c r="E54">
        <f>AVERAGE(DataEntry!55:59)</f>
        <v>0</v>
      </c>
    </row>
    <row r="55" spans="2:5" x14ac:dyDescent="0.2">
      <c r="B55" t="s">
        <v>49</v>
      </c>
      <c r="D55">
        <f>IFERROR(VLOOKUP(C55,lookups!$A$1:$B$5,2,FALSE),0)</f>
        <v>0</v>
      </c>
    </row>
    <row r="56" spans="2:5" x14ac:dyDescent="0.2">
      <c r="B56" t="s">
        <v>50</v>
      </c>
      <c r="D56">
        <f>IFERROR(VLOOKUP(C56,lookups!$A$1:$B$5,2,FALSE),0)</f>
        <v>0</v>
      </c>
    </row>
    <row r="57" spans="2:5" x14ac:dyDescent="0.2">
      <c r="B57" t="s">
        <v>51</v>
      </c>
      <c r="D57">
        <f>IFERROR(VLOOKUP(C57,lookups!$A$1:$B$5,2,FALSE),0)</f>
        <v>0</v>
      </c>
    </row>
    <row r="58" spans="2:5" x14ac:dyDescent="0.2">
      <c r="B58" t="s">
        <v>52</v>
      </c>
      <c r="D58">
        <f>IFERROR(VLOOKUP(C58,lookups!$A$1:$B$5,2,FALSE),0)</f>
        <v>0</v>
      </c>
    </row>
    <row r="59" spans="2:5" x14ac:dyDescent="0.2">
      <c r="B59" t="s">
        <v>53</v>
      </c>
      <c r="D59">
        <f>IFERROR(VLOOKUP(C59,lookups!$A$1:$B$5,2,FALSE),0)</f>
        <v>0</v>
      </c>
    </row>
    <row r="60" spans="2:5" ht="20" x14ac:dyDescent="0.2">
      <c r="B60" s="2" t="s">
        <v>54</v>
      </c>
      <c r="E60">
        <f>AVERAGE(DataEntry!61:65)</f>
        <v>0</v>
      </c>
    </row>
    <row r="61" spans="2:5" x14ac:dyDescent="0.2">
      <c r="B61" t="s">
        <v>55</v>
      </c>
      <c r="D61">
        <f>IFERROR(VLOOKUP(C61,lookups!$A$1:$B$5,2,FALSE),0)</f>
        <v>0</v>
      </c>
    </row>
    <row r="62" spans="2:5" x14ac:dyDescent="0.2">
      <c r="B62" t="s">
        <v>56</v>
      </c>
      <c r="D62">
        <f>IFERROR(VLOOKUP(C62,lookups!$A$1:$B$5,2,FALSE),0)</f>
        <v>0</v>
      </c>
    </row>
    <row r="63" spans="2:5" x14ac:dyDescent="0.2">
      <c r="B63" t="s">
        <v>57</v>
      </c>
      <c r="D63">
        <f>IFERROR(VLOOKUP(C63,lookups!$A$1:$B$5,2,FALSE),0)</f>
        <v>0</v>
      </c>
    </row>
    <row r="64" spans="2:5" x14ac:dyDescent="0.2">
      <c r="B64" t="s">
        <v>58</v>
      </c>
      <c r="D64">
        <f>IFERROR(VLOOKUP(C64,lookups!$A$1:$B$5,2,FALSE),0)</f>
        <v>0</v>
      </c>
    </row>
    <row r="65" spans="1:5" x14ac:dyDescent="0.2">
      <c r="B65" t="s">
        <v>59</v>
      </c>
      <c r="D65">
        <f>IFERROR(VLOOKUP(C65,lookups!$A$1:$B$5,2,FALSE),0)</f>
        <v>0</v>
      </c>
    </row>
    <row r="66" spans="1:5" ht="20" x14ac:dyDescent="0.2">
      <c r="B66" s="2" t="s">
        <v>60</v>
      </c>
      <c r="E66">
        <f>AVERAGE(DataEntry!67:68)</f>
        <v>0</v>
      </c>
    </row>
    <row r="67" spans="1:5" x14ac:dyDescent="0.2">
      <c r="B67" t="s">
        <v>61</v>
      </c>
      <c r="D67">
        <f>IFERROR(VLOOKUP(C67,lookups!$A$1:$B$5,2,FALSE),0)</f>
        <v>0</v>
      </c>
    </row>
    <row r="68" spans="1:5" x14ac:dyDescent="0.2">
      <c r="B68" t="s">
        <v>62</v>
      </c>
      <c r="D68">
        <f>IFERROR(VLOOKUP(C68,lookups!$A$1:$B$5,2,FALSE),0)</f>
        <v>0</v>
      </c>
    </row>
    <row r="69" spans="1:5" ht="28" x14ac:dyDescent="0.3">
      <c r="A69" s="1" t="s">
        <v>63</v>
      </c>
    </row>
    <row r="70" spans="1:5" ht="20" x14ac:dyDescent="0.2">
      <c r="B70" s="2" t="s">
        <v>64</v>
      </c>
      <c r="E70">
        <f>AVERAGE(DataEntry!71:76)</f>
        <v>0</v>
      </c>
    </row>
    <row r="71" spans="1:5" x14ac:dyDescent="0.2">
      <c r="B71" t="s">
        <v>65</v>
      </c>
      <c r="D71">
        <f>IFERROR(VLOOKUP(C71,lookups!$A$1:$B$5,2,FALSE),0)</f>
        <v>0</v>
      </c>
    </row>
    <row r="72" spans="1:5" x14ac:dyDescent="0.2">
      <c r="B72" t="s">
        <v>66</v>
      </c>
      <c r="D72">
        <f>IFERROR(VLOOKUP(C72,lookups!$A$1:$B$5,2,FALSE),0)</f>
        <v>0</v>
      </c>
    </row>
    <row r="73" spans="1:5" x14ac:dyDescent="0.2">
      <c r="B73" t="s">
        <v>67</v>
      </c>
      <c r="D73">
        <f>IFERROR(VLOOKUP(C73,lookups!$A$1:$B$5,2,FALSE),0)</f>
        <v>0</v>
      </c>
    </row>
    <row r="74" spans="1:5" x14ac:dyDescent="0.2">
      <c r="B74" t="s">
        <v>68</v>
      </c>
      <c r="D74">
        <f>IFERROR(VLOOKUP(C74,lookups!$A$1:$B$5,2,FALSE),0)</f>
        <v>0</v>
      </c>
    </row>
    <row r="75" spans="1:5" x14ac:dyDescent="0.2">
      <c r="B75" t="s">
        <v>69</v>
      </c>
      <c r="D75">
        <f>IFERROR(VLOOKUP(C75,lookups!$A$1:$B$5,2,FALSE),0)</f>
        <v>0</v>
      </c>
    </row>
    <row r="76" spans="1:5" x14ac:dyDescent="0.2">
      <c r="B76" t="s">
        <v>70</v>
      </c>
      <c r="D76">
        <f>IFERROR(VLOOKUP(C76,lookups!$A$1:$B$5,2,FALSE),0)</f>
        <v>0</v>
      </c>
    </row>
    <row r="77" spans="1:5" ht="20" x14ac:dyDescent="0.2">
      <c r="B77" s="2" t="s">
        <v>71</v>
      </c>
      <c r="E77">
        <f>AVERAGE(DataEntry!78:84)</f>
        <v>0</v>
      </c>
    </row>
    <row r="78" spans="1:5" x14ac:dyDescent="0.2">
      <c r="B78" t="s">
        <v>72</v>
      </c>
      <c r="D78">
        <f>IFERROR(VLOOKUP(C78,lookups!$A$1:$B$5,2,FALSE),0)</f>
        <v>0</v>
      </c>
    </row>
    <row r="79" spans="1:5" x14ac:dyDescent="0.2">
      <c r="B79" t="s">
        <v>73</v>
      </c>
      <c r="D79">
        <f>IFERROR(VLOOKUP(C79,lookups!$A$1:$B$5,2,FALSE),0)</f>
        <v>0</v>
      </c>
    </row>
    <row r="80" spans="1:5" x14ac:dyDescent="0.2">
      <c r="B80" t="s">
        <v>74</v>
      </c>
      <c r="D80">
        <f>IFERROR(VLOOKUP(C80,lookups!$A$1:$B$5,2,FALSE),0)</f>
        <v>0</v>
      </c>
    </row>
    <row r="81" spans="1:5" x14ac:dyDescent="0.2">
      <c r="B81" t="s">
        <v>75</v>
      </c>
      <c r="D81">
        <f>IFERROR(VLOOKUP(C81,lookups!$A$1:$B$5,2,FALSE),0)</f>
        <v>0</v>
      </c>
    </row>
    <row r="82" spans="1:5" x14ac:dyDescent="0.2">
      <c r="B82" t="s">
        <v>76</v>
      </c>
      <c r="D82">
        <f>IFERROR(VLOOKUP(C82,lookups!$A$1:$B$5,2,FALSE),0)</f>
        <v>0</v>
      </c>
    </row>
    <row r="83" spans="1:5" x14ac:dyDescent="0.2">
      <c r="B83" t="s">
        <v>77</v>
      </c>
      <c r="D83">
        <f>IFERROR(VLOOKUP(C83,lookups!$A$1:$B$5,2,FALSE),0)</f>
        <v>0</v>
      </c>
    </row>
    <row r="84" spans="1:5" x14ac:dyDescent="0.2">
      <c r="B84" t="s">
        <v>78</v>
      </c>
      <c r="D84">
        <f>IFERROR(VLOOKUP(C84,lookups!$A$1:$B$5,2,FALSE),0)</f>
        <v>0</v>
      </c>
    </row>
    <row r="85" spans="1:5" ht="20" x14ac:dyDescent="0.2">
      <c r="B85" s="2" t="s">
        <v>79</v>
      </c>
      <c r="E85">
        <f>AVERAGE(DataEntry!86:95)</f>
        <v>0</v>
      </c>
    </row>
    <row r="86" spans="1:5" x14ac:dyDescent="0.2">
      <c r="B86" t="s">
        <v>80</v>
      </c>
      <c r="D86">
        <f>IFERROR(VLOOKUP(C86,lookups!$A$1:$B$5,2,FALSE),0)</f>
        <v>0</v>
      </c>
    </row>
    <row r="87" spans="1:5" x14ac:dyDescent="0.2">
      <c r="B87" t="s">
        <v>81</v>
      </c>
      <c r="D87">
        <f>IFERROR(VLOOKUP(C87,lookups!$A$1:$B$5,2,FALSE),0)</f>
        <v>0</v>
      </c>
    </row>
    <row r="88" spans="1:5" x14ac:dyDescent="0.2">
      <c r="B88" t="s">
        <v>82</v>
      </c>
      <c r="D88">
        <f>IFERROR(VLOOKUP(C88,lookups!$A$1:$B$5,2,FALSE),0)</f>
        <v>0</v>
      </c>
    </row>
    <row r="89" spans="1:5" x14ac:dyDescent="0.2">
      <c r="B89" t="s">
        <v>83</v>
      </c>
      <c r="D89">
        <f>IFERROR(VLOOKUP(C89,lookups!$A$1:$B$5,2,FALSE),0)</f>
        <v>0</v>
      </c>
    </row>
    <row r="90" spans="1:5" x14ac:dyDescent="0.2">
      <c r="B90" t="s">
        <v>84</v>
      </c>
      <c r="D90">
        <f>IFERROR(VLOOKUP(C90,lookups!$A$1:$B$5,2,FALSE),0)</f>
        <v>0</v>
      </c>
    </row>
    <row r="91" spans="1:5" x14ac:dyDescent="0.2">
      <c r="B91" t="s">
        <v>85</v>
      </c>
      <c r="D91">
        <f>IFERROR(VLOOKUP(C91,lookups!$A$1:$B$5,2,FALSE),0)</f>
        <v>0</v>
      </c>
    </row>
    <row r="92" spans="1:5" x14ac:dyDescent="0.2">
      <c r="B92" t="s">
        <v>86</v>
      </c>
      <c r="D92">
        <f>IFERROR(VLOOKUP(C92,lookups!$A$1:$B$5,2,FALSE),0)</f>
        <v>0</v>
      </c>
    </row>
    <row r="93" spans="1:5" x14ac:dyDescent="0.2">
      <c r="B93" t="s">
        <v>87</v>
      </c>
      <c r="D93">
        <f>IFERROR(VLOOKUP(C93,lookups!$A$1:$B$5,2,FALSE),0)</f>
        <v>0</v>
      </c>
    </row>
    <row r="94" spans="1:5" x14ac:dyDescent="0.2">
      <c r="B94" t="s">
        <v>88</v>
      </c>
      <c r="D94">
        <f>IFERROR(VLOOKUP(C94,lookups!$A$1:$B$5,2,FALSE),0)</f>
        <v>0</v>
      </c>
    </row>
    <row r="95" spans="1:5" x14ac:dyDescent="0.2">
      <c r="B95" t="s">
        <v>89</v>
      </c>
      <c r="D95">
        <f>IFERROR(VLOOKUP(C95,lookups!$A$1:$B$5,2,FALSE),0)</f>
        <v>0</v>
      </c>
    </row>
    <row r="96" spans="1:5" ht="28" x14ac:dyDescent="0.3">
      <c r="A96" s="1" t="s">
        <v>90</v>
      </c>
    </row>
    <row r="97" spans="2:5" ht="20" x14ac:dyDescent="0.2">
      <c r="B97" s="2" t="s">
        <v>91</v>
      </c>
      <c r="E97">
        <f>AVERAGE(DataEntry!98:103)</f>
        <v>0</v>
      </c>
    </row>
    <row r="98" spans="2:5" x14ac:dyDescent="0.2">
      <c r="B98" t="s">
        <v>92</v>
      </c>
      <c r="D98">
        <f>IFERROR(VLOOKUP(C98,lookups!$A$1:$B$5,2,FALSE),0)</f>
        <v>0</v>
      </c>
    </row>
    <row r="99" spans="2:5" x14ac:dyDescent="0.2">
      <c r="B99" t="s">
        <v>93</v>
      </c>
      <c r="D99">
        <f>IFERROR(VLOOKUP(C99,lookups!$A$1:$B$5,2,FALSE),0)</f>
        <v>0</v>
      </c>
    </row>
    <row r="100" spans="2:5" x14ac:dyDescent="0.2">
      <c r="B100" t="s">
        <v>94</v>
      </c>
      <c r="D100">
        <f>IFERROR(VLOOKUP(C100,lookups!$A$1:$B$5,2,FALSE),0)</f>
        <v>0</v>
      </c>
    </row>
    <row r="101" spans="2:5" x14ac:dyDescent="0.2">
      <c r="B101" t="s">
        <v>95</v>
      </c>
      <c r="D101">
        <f>IFERROR(VLOOKUP(C101,lookups!$A$1:$B$5,2,FALSE),0)</f>
        <v>0</v>
      </c>
    </row>
    <row r="102" spans="2:5" x14ac:dyDescent="0.2">
      <c r="B102" t="s">
        <v>96</v>
      </c>
      <c r="D102">
        <f>IFERROR(VLOOKUP(C102,lookups!$A$1:$B$5,2,FALSE),0)</f>
        <v>0</v>
      </c>
    </row>
    <row r="103" spans="2:5" x14ac:dyDescent="0.2">
      <c r="B103" t="s">
        <v>97</v>
      </c>
      <c r="D103">
        <f>IFERROR(VLOOKUP(C103,lookups!$A$1:$B$5,2,FALSE),0)</f>
        <v>0</v>
      </c>
    </row>
    <row r="104" spans="2:5" ht="20" x14ac:dyDescent="0.2">
      <c r="B104" s="2" t="s">
        <v>98</v>
      </c>
      <c r="E104">
        <f>AVERAGE(DataEntry!105:106)</f>
        <v>0</v>
      </c>
    </row>
    <row r="105" spans="2:5" x14ac:dyDescent="0.2">
      <c r="B105" t="s">
        <v>99</v>
      </c>
      <c r="D105">
        <f>IFERROR(VLOOKUP(C105,lookups!$A$1:$B$5,2,FALSE),0)</f>
        <v>0</v>
      </c>
    </row>
    <row r="106" spans="2:5" x14ac:dyDescent="0.2">
      <c r="B106" t="s">
        <v>100</v>
      </c>
      <c r="D106">
        <f>IFERROR(VLOOKUP(C106,lookups!$A$1:$B$5,2,FALSE),0)</f>
        <v>0</v>
      </c>
    </row>
  </sheetData>
  <dataValidations count="1">
    <dataValidation type="list" allowBlank="1" sqref="C17 C18 C19 C20 C21 C23 C24 C25 C26 C27 C28 C30 C31 C32 C33 C34 C36 C37 C38 C40 C41 C42 C43 C46 C47 C49 C50 C51 C52 C53 C55 C56 C57 C58 C59 C61 C62 C63 C64 C65 C67 C68 C71 C72 C73 C74 C75 C76 C78 C79 C80 C81 C82 C83 C84 C86 C87 C88 C89 C90 C91 C92 C93 C94 C95 C98 C99 C100 C101 C102 C103 C105 C106" xr:uid="{00000000-0002-0000-0000-000000000000}">
      <formula1>"No,Emerging,Progress Being Made,Almost There,Funded"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heetViews>
  <sheetFormatPr baseColWidth="10" defaultColWidth="8.83203125" defaultRowHeight="15" x14ac:dyDescent="0.2"/>
  <sheetData>
    <row r="1" spans="1:2" x14ac:dyDescent="0.2">
      <c r="A1" t="s">
        <v>101</v>
      </c>
      <c r="B1">
        <v>0</v>
      </c>
    </row>
    <row r="2" spans="1:2" x14ac:dyDescent="0.2">
      <c r="A2" t="s">
        <v>102</v>
      </c>
      <c r="B2">
        <v>0.25</v>
      </c>
    </row>
    <row r="3" spans="1:2" x14ac:dyDescent="0.2">
      <c r="A3" t="s">
        <v>103</v>
      </c>
      <c r="B3">
        <v>0.5</v>
      </c>
    </row>
    <row r="4" spans="1:2" x14ac:dyDescent="0.2">
      <c r="A4" t="s">
        <v>104</v>
      </c>
      <c r="B4">
        <v>0.75</v>
      </c>
    </row>
    <row r="5" spans="1:2" x14ac:dyDescent="0.2">
      <c r="A5" t="s">
        <v>105</v>
      </c>
      <c r="B5">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6"/>
  <sheetViews>
    <sheetView topLeftCell="A2" workbookViewId="0">
      <selection activeCell="B16" sqref="B16"/>
    </sheetView>
  </sheetViews>
  <sheetFormatPr baseColWidth="10" defaultColWidth="8.83203125" defaultRowHeight="15" x14ac:dyDescent="0.2"/>
  <cols>
    <col min="1" max="1" width="42.1640625" customWidth="1"/>
  </cols>
  <sheetData>
    <row r="1" spans="1:2" x14ac:dyDescent="0.2">
      <c r="A1" t="s">
        <v>106</v>
      </c>
      <c r="B1" t="s">
        <v>8</v>
      </c>
    </row>
    <row r="2" spans="1:2" x14ac:dyDescent="0.2">
      <c r="A2" t="s">
        <v>10</v>
      </c>
      <c r="B2">
        <f>DataEntry!E16</f>
        <v>0</v>
      </c>
    </row>
    <row r="3" spans="1:2" x14ac:dyDescent="0.2">
      <c r="A3" t="s">
        <v>16</v>
      </c>
      <c r="B3">
        <f>DataEntry!E22</f>
        <v>0</v>
      </c>
    </row>
    <row r="4" spans="1:2" x14ac:dyDescent="0.2">
      <c r="A4" t="s">
        <v>23</v>
      </c>
      <c r="B4">
        <f>DataEntry!E29</f>
        <v>0</v>
      </c>
    </row>
    <row r="5" spans="1:2" x14ac:dyDescent="0.2">
      <c r="A5" t="s">
        <v>29</v>
      </c>
      <c r="B5">
        <f>DataEntry!E35</f>
        <v>0</v>
      </c>
    </row>
    <row r="6" spans="1:2" x14ac:dyDescent="0.2">
      <c r="A6" t="s">
        <v>33</v>
      </c>
      <c r="B6">
        <f>DataEntry!E39</f>
        <v>0</v>
      </c>
    </row>
    <row r="7" spans="1:2" x14ac:dyDescent="0.2">
      <c r="A7" t="s">
        <v>39</v>
      </c>
      <c r="B7">
        <f>DataEntry!E45</f>
        <v>0</v>
      </c>
    </row>
    <row r="8" spans="1:2" x14ac:dyDescent="0.2">
      <c r="A8" t="s">
        <v>42</v>
      </c>
      <c r="B8">
        <f>DataEntry!E48</f>
        <v>0</v>
      </c>
    </row>
    <row r="9" spans="1:2" x14ac:dyDescent="0.2">
      <c r="A9" t="s">
        <v>48</v>
      </c>
      <c r="B9">
        <f>DataEntry!E54</f>
        <v>0</v>
      </c>
    </row>
    <row r="10" spans="1:2" x14ac:dyDescent="0.2">
      <c r="A10" t="s">
        <v>54</v>
      </c>
      <c r="B10">
        <f>DataEntry!E60</f>
        <v>0</v>
      </c>
    </row>
    <row r="11" spans="1:2" x14ac:dyDescent="0.2">
      <c r="A11" t="s">
        <v>60</v>
      </c>
      <c r="B11">
        <f>DataEntry!E66</f>
        <v>0</v>
      </c>
    </row>
    <row r="12" spans="1:2" x14ac:dyDescent="0.2">
      <c r="A12" t="s">
        <v>64</v>
      </c>
      <c r="B12">
        <f>DataEntry!E70</f>
        <v>0</v>
      </c>
    </row>
    <row r="13" spans="1:2" x14ac:dyDescent="0.2">
      <c r="A13" t="s">
        <v>71</v>
      </c>
      <c r="B13">
        <f>DataEntry!E77</f>
        <v>0</v>
      </c>
    </row>
    <row r="14" spans="1:2" x14ac:dyDescent="0.2">
      <c r="A14" t="s">
        <v>79</v>
      </c>
      <c r="B14">
        <f>DataEntry!E85</f>
        <v>0</v>
      </c>
    </row>
    <row r="15" spans="1:2" x14ac:dyDescent="0.2">
      <c r="A15" t="s">
        <v>91</v>
      </c>
      <c r="B15">
        <f>DataEntry!E97</f>
        <v>0</v>
      </c>
    </row>
    <row r="16" spans="1:2" x14ac:dyDescent="0.2">
      <c r="A16" t="s">
        <v>98</v>
      </c>
      <c r="B16">
        <f>DataEntry!E104</f>
        <v>0</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DataEntry</vt:lpstr>
      <vt:lpstr>lookups</vt:lpstr>
      <vt:lpstr>psscrm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Morrison</cp:lastModifiedBy>
  <dcterms:created xsi:type="dcterms:W3CDTF">2025-02-12T13:17:05Z</dcterms:created>
  <dcterms:modified xsi:type="dcterms:W3CDTF">2025-02-17T14:11:36Z</dcterms:modified>
</cp:coreProperties>
</file>