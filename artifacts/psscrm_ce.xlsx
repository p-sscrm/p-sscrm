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500" yWindow="1160" windowWidth="34560" windowHeight="19880" tabRatio="600" firstSheet="0" activeTab="0" autoFilterDateGrouping="1"/>
  </bookViews>
  <sheets>
    <sheet xmlns:r="http://schemas.openxmlformats.org/officeDocument/2006/relationships" name="DataEntry" sheetId="1" state="visible" r:id="rId1"/>
    <sheet xmlns:r="http://schemas.openxmlformats.org/officeDocument/2006/relationships" name="lookups" sheetId="2" state="hidden" r:id="rId2"/>
    <sheet xmlns:r="http://schemas.openxmlformats.org/officeDocument/2006/relationships" name="psscrm" sheetId="3" state="visible" r:id="rId3"/>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5DEB3"/>
      <sz val="22"/>
    </font>
    <font>
      <name val="Arial"/>
      <family val="2"/>
      <color rgb="FFFFFFFF"/>
      <sz val="16"/>
    </font>
    <font>
      <name val="Calibri"/>
      <family val="2"/>
      <color theme="1"/>
      <sz val="14"/>
      <scheme val="minor"/>
    </font>
    <font>
      <name val="Arial"/>
      <b val="1"/>
      <color rgb="00FFFFFF"/>
      <sz val="22"/>
    </font>
    <font>
      <name val="Arial"/>
      <color rgb="00FFFFFF"/>
      <sz val="16"/>
    </font>
  </fonts>
  <fills count="7">
    <fill>
      <patternFill/>
    </fill>
    <fill>
      <patternFill patternType="gray125"/>
    </fill>
    <fill>
      <patternFill patternType="solid">
        <fgColor rgb="FF000A8B"/>
      </patternFill>
    </fill>
    <fill>
      <patternFill patternType="solid">
        <fgColor rgb="004F62C8"/>
        <bgColor rgb="004F62C8"/>
      </patternFill>
    </fill>
    <fill>
      <patternFill patternType="solid">
        <fgColor rgb="00C86B4F"/>
        <bgColor rgb="00C86B4F"/>
      </patternFill>
    </fill>
    <fill>
      <patternFill patternType="solid">
        <fgColor rgb="0094C84F"/>
        <bgColor rgb="0094C84F"/>
      </patternFill>
    </fill>
    <fill>
      <patternFill patternType="solid">
        <fgColor rgb="004FC89C"/>
        <bgColor rgb="004FC89C"/>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3" fillId="0" borderId="1" pivotButton="0" quotePrefix="0" xfId="0"/>
    <xf numFmtId="0" fontId="3" fillId="0" borderId="2" pivotButton="0" quotePrefix="0" xfId="0"/>
    <xf numFmtId="0" fontId="0" fillId="0" borderId="2" pivotButton="0" quotePrefix="0" xfId="0"/>
    <xf numFmtId="0" fontId="4" fillId="3" borderId="0" pivotButton="0" quotePrefix="0" xfId="0"/>
    <xf numFmtId="0" fontId="5" fillId="3" borderId="0" pivotButton="0" quotePrefix="0" xfId="0"/>
    <xf numFmtId="0" fontId="5" fillId="3" borderId="2" pivotButton="0" quotePrefix="0" xfId="0"/>
    <xf numFmtId="0" fontId="0" fillId="0" borderId="0" applyAlignment="1" pivotButton="0" quotePrefix="0" xfId="0">
      <alignment wrapText="1"/>
    </xf>
    <xf numFmtId="0" fontId="4" fillId="4" borderId="0" pivotButton="0" quotePrefix="0" xfId="0"/>
    <xf numFmtId="0" fontId="5" fillId="4" borderId="0" pivotButton="0" quotePrefix="0" xfId="0"/>
    <xf numFmtId="0" fontId="5" fillId="4" borderId="2" pivotButton="0" quotePrefix="0" xfId="0"/>
    <xf numFmtId="0" fontId="4" fillId="5" borderId="0" pivotButton="0" quotePrefix="0" xfId="0"/>
    <xf numFmtId="0" fontId="5" fillId="5" borderId="0" pivotButton="0" quotePrefix="0" xfId="0"/>
    <xf numFmtId="0" fontId="5" fillId="5" borderId="2" pivotButton="0" quotePrefix="0" xfId="0"/>
    <xf numFmtId="0" fontId="2" fillId="2" borderId="0" applyAlignment="1" pivotButton="0" quotePrefix="0" xfId="0">
      <alignment wrapText="1"/>
    </xf>
    <xf numFmtId="0" fontId="4" fillId="6" borderId="0" pivotButton="0" quotePrefix="0" xfId="0"/>
    <xf numFmtId="0" fontId="5" fillId="6" borderId="0" pivotButton="0" quotePrefix="0" xfId="0"/>
    <xf numFmtId="0" fontId="5" fillId="6"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P-SSCRM Score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radarChart>
        <radarStyle val="marker"/>
        <varyColors val="0"/>
        <ser>
          <idx val="0"/>
          <order val="0"/>
          <tx>
            <strRef>
              <f>psscrm!$B$1</f>
              <strCache>
                <ptCount val="1"/>
                <pt idx="0">
                  <v>Score</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psscrm!$A$2:$A$16</f>
              <strCache>
                <ptCount val="15"/>
                <pt idx="0">
                  <v>G.1 Perform compliance</v>
                </pt>
                <pt idx="1">
                  <v>G.2 Develop security policies</v>
                </pt>
                <pt idx="2">
                  <v>G.3 Manage suppliers</v>
                </pt>
                <pt idx="3">
                  <v>G.4 Training</v>
                </pt>
                <pt idx="4">
                  <v>G.5 Assess and manage risk</v>
                </pt>
                <pt idx="5">
                  <v>P.1 Develop security requirements</v>
                </pt>
                <pt idx="6">
                  <v>P.2 Build security in</v>
                </pt>
                <pt idx="7">
                  <v>P.3 Manage component and container choices</v>
                </pt>
                <pt idx="8">
                  <v>P.4 Discover vulnerabilities</v>
                </pt>
                <pt idx="9">
                  <v>P.5 Manage vulnerable components and containers</v>
                </pt>
                <pt idx="10">
                  <v>E.1 Safeguard artifact integrity</v>
                </pt>
                <pt idx="11">
                  <v>E.2 Safeguard build integrity</v>
                </pt>
                <pt idx="12">
                  <v>E.3 Secure software development environment</v>
                </pt>
                <pt idx="13">
                  <v>D.1 Respond to/disclose vulnerabilities</v>
                </pt>
                <pt idx="14">
                  <v>D.2 Monitor intrusions/violations</v>
                </pt>
              </strCache>
            </strRef>
          </cat>
          <val>
            <numRef>
              <f>psscrm!$B$2:$B$16</f>
              <numCache>
                <formatCode>General</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axId val="447199472"/>
        <axId val="447201184"/>
      </radarChart>
      <catAx>
        <axId val="44719947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47201184"/>
        <crosses val="autoZero"/>
        <auto val="1"/>
        <lblAlgn val="ctr"/>
        <lblOffset val="100"/>
        <noMultiLvlLbl val="0"/>
      </catAx>
      <valAx>
        <axId val="44720118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44719947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5</col>
      <colOff>615950</colOff>
      <row>4</row>
      <rowOff>12700</rowOff>
    </from>
    <to>
      <col>16</col>
      <colOff>457200</colOff>
      <row>29</row>
      <rowOff>12700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107"/>
  <sheetViews>
    <sheetView tabSelected="1" zoomScaleNormal="100" workbookViewId="0">
      <selection activeCell="A10" sqref="A10"/>
    </sheetView>
  </sheetViews>
  <sheetFormatPr baseColWidth="10" defaultColWidth="8.83203125" defaultRowHeight="15"/>
  <cols>
    <col width="25" customWidth="1" min="1" max="1"/>
    <col width="60" customWidth="1" min="2" max="2"/>
    <col width="20" customWidth="1" min="3" max="3"/>
    <col width="10" customWidth="1" min="4" max="4"/>
    <col width="10" customWidth="1" min="5" max="5"/>
  </cols>
  <sheetData>
    <row r="1" ht="19" customHeight="1">
      <c r="B1" s="3" t="inlineStr">
        <is>
          <t>Using a completed P-SSCRM questionnaire, or your own estimates,</t>
        </is>
      </c>
    </row>
    <row r="2" ht="19" customHeight="1">
      <c r="B2" s="3" t="inlineStr">
        <is>
          <t>select the best answer from the dropdown in the answer column</t>
        </is>
      </c>
    </row>
    <row r="3" ht="19" customHeight="1">
      <c r="A3" s="3" t="n"/>
      <c r="B3" s="3" t="n"/>
    </row>
    <row r="4" ht="19" customHeight="1">
      <c r="A4" s="5" t="inlineStr">
        <is>
          <t>Company Id:</t>
        </is>
      </c>
      <c r="B4" s="5" t="n"/>
      <c r="C4" s="6" t="n"/>
    </row>
    <row r="5" ht="19" customHeight="1">
      <c r="A5" s="5" t="inlineStr">
        <is>
          <t>Assessment Date:</t>
        </is>
      </c>
      <c r="B5" s="5" t="n"/>
      <c r="C5" s="6" t="n"/>
    </row>
    <row r="6" ht="19" customHeight="1">
      <c r="A6" s="5" t="inlineStr">
        <is>
          <t>Team/Application:</t>
        </is>
      </c>
      <c r="B6" s="5" t="n"/>
      <c r="C6" s="6" t="n"/>
    </row>
    <row r="7" ht="19" customHeight="1">
      <c r="A7" s="5" t="inlineStr">
        <is>
          <t>Assessor(s):</t>
        </is>
      </c>
      <c r="B7" s="5" t="n"/>
      <c r="C7" s="6" t="n"/>
    </row>
    <row r="8" ht="19" customHeight="1">
      <c r="A8" s="5" t="inlineStr">
        <is>
          <t>Contributor(s):</t>
        </is>
      </c>
      <c r="B8" s="5" t="n"/>
      <c r="C8" s="6" t="n"/>
    </row>
    <row r="9" ht="19" customHeight="1">
      <c r="A9" s="5" t="inlineStr"/>
      <c r="B9" s="5" t="n"/>
      <c r="C9" s="6" t="n"/>
    </row>
    <row r="10" ht="19" customHeight="1">
      <c r="A10" s="5" t="n"/>
      <c r="B10" s="5" t="n"/>
      <c r="C10" s="6" t="n"/>
    </row>
    <row r="14">
      <c r="C14" t="inlineStr">
        <is>
          <t>Answer</t>
        </is>
      </c>
      <c r="D14" t="inlineStr">
        <is>
          <t>Score</t>
        </is>
      </c>
    </row>
    <row r="15" ht="28" customHeight="1">
      <c r="A15" s="7" t="inlineStr">
        <is>
          <t>Governance</t>
        </is>
      </c>
      <c r="B15" s="8" t="n"/>
      <c r="C15" s="8" t="n"/>
      <c r="D15" s="8" t="n"/>
      <c r="E15" s="8" t="n"/>
    </row>
    <row r="16" ht="20" customHeight="1">
      <c r="A16" s="9" t="n"/>
      <c r="B16" s="9" t="inlineStr">
        <is>
          <t>G.1 Perform compliance</t>
        </is>
      </c>
      <c r="C16" s="9" t="n"/>
      <c r="D16" s="9" t="n"/>
      <c r="E16" s="9">
        <f>AVERAGE(DataEntry!17:21)</f>
        <v/>
      </c>
    </row>
    <row r="17">
      <c r="B17" s="10" t="inlineStr">
        <is>
          <t>G.1.1 Organizational security requirements
Do you have a defined secure SDLC that the engineers are aware of?
How do you define security requirements and policies for the organization, its development infrastructure, contributions, and processes?
How are these requirements and contributions maintained over time?
How are constraints imposed by regulatory and compliance drivers included in these requirements, policies, and the SDLC?</t>
        </is>
      </c>
      <c r="D17">
        <f>IFERROR(VLOOKUP(C17,lookups!$A$1:$B$5,2,FALSE),0)</f>
        <v/>
      </c>
    </row>
    <row r="18">
      <c r="B18" s="10" t="inlineStr">
        <is>
          <t>G.1.2 Software license conflict
How do you scan check that the software licenses for tools or third party components comply with your organization's use policies?
Is the process automated?
Do you document and track users and uses of software licenses relative to access control policies and software usage restrictions?</t>
        </is>
      </c>
      <c r="D18">
        <f>IFERROR(VLOOKUP(C18,lookups!$A$1:$B$5,2,FALSE),0)</f>
        <v/>
      </c>
    </row>
    <row r="19">
      <c r="B19" s="10" t="inlineStr">
        <is>
          <t>G.1.3 Produce attestation
Can you tell me about automated or manual processes for producing artifacts that attest to the use of secure development practices?
Where are the artifacts stored?
What are your auditability/retention requirements for these artifacts?
Is responsibility assigned for creating needed artifacts that tools cannot generate?
Do you use a framework, like in-toto, to produce authenticated meta-data about artifacts, such as for attestation?
Do you need to provide self-attestation for your product?
Is the attestation immutable and published in the source repository releases, in the package registry, or elsewhere with their existence in a transparency log?</t>
        </is>
      </c>
      <c r="D19">
        <f>IFERROR(VLOOKUP(C19,lookups!$A$1:$B$5,2,FALSE),0)</f>
        <v/>
      </c>
    </row>
    <row r="20">
      <c r="B20" s="10" t="inlineStr">
        <is>
          <t>G.1.4 Deliver provenance
Can you tell me more about your provenance data generation process?
What authentications take place relative to the production of provenance data?
Is provenance data automatically generated/verified by the build service, or does it involve a manual process or the ability for alteration, or is it read-only?
Is a signing key used for a digital signature? Stored in a secure management system accessible only by the build service?
Do provenance records include the initial state of the machine, VM, or container, and include all user-specified build steps?</t>
        </is>
      </c>
      <c r="D20">
        <f>IFERROR(VLOOKUP(C20,lookups!$A$1:$B$5,2,FALSE),0)</f>
        <v/>
      </c>
    </row>
    <row r="21">
      <c r="B21" s="10" t="inlineStr">
        <is>
          <t>G.1.5 Deliver SBOM
Do you deliver an SBOM and provenance data that satisfy your contracts with software acquirers, such as in a standard-base format?
How and when is the SBOM built?
What tool do you use?
Do you digitally sign the SBOMs?
Do you produce a VEX supplement for your SBOM?
What is your process for generating the VEX information?</t>
        </is>
      </c>
      <c r="D21">
        <f>IFERROR(VLOOKUP(C21,lookups!$A$1:$B$5,2,FALSE),0)</f>
        <v/>
      </c>
    </row>
    <row r="22" ht="20" customHeight="1">
      <c r="A22" s="9" t="n"/>
      <c r="B22" s="9" t="inlineStr">
        <is>
          <t>G.2 Develop security policies</t>
        </is>
      </c>
      <c r="C22" s="9" t="n"/>
      <c r="D22" s="9" t="n"/>
      <c r="E22" s="9">
        <f>AVERAGE(DataEntry!23:28)</f>
        <v/>
      </c>
    </row>
    <row r="23">
      <c r="B23" s="10" t="inlineStr">
        <is>
          <t>G.2.1 Upper management support
Can you share about upper management's commitment to secure software development?
In what way is this commitment publicly demonstrated and communicated to development roles and responsibilities?
Comment on the adequacy of resources dedicated to secure software development.</t>
        </is>
      </c>
      <c r="D23">
        <f>IFERROR(VLOOKUP(C23,lookups!$A$1:$B$5,2,FALSE),0)</f>
        <v/>
      </c>
    </row>
    <row r="24">
      <c r="B24" s="10" t="inlineStr">
        <is>
          <t>G.2.2 Secure SDLC checks
What kind of criteria for security checks has been established, such as for security testing results?
How can these checks indicate if security practices are being used and secure software is being developed?
How are these checks tracked through the SDLC?
Are the checks automated or manual?</t>
        </is>
      </c>
      <c r="D24">
        <f>IFERROR(VLOOKUP(C24,lookups!$A$1:$B$5,2,FALSE),0)</f>
        <v/>
      </c>
    </row>
    <row r="25">
      <c r="B25" s="10" t="inlineStr">
        <is>
          <t>G.2.3 Roles and responsibilities
What security roles and responsibilities have been created to encompass all parts of the SDLC - both within the development teams as well as at an organizational level?</t>
        </is>
      </c>
      <c r="D25">
        <f>IFERROR(VLOOKUP(C25,lookups!$A$1:$B$5,2,FALSE),0)</f>
        <v/>
      </c>
    </row>
    <row r="26">
      <c r="B26" s="10" t="inlineStr">
        <is>
          <t>G.2.4 Security code review policy
What kind of guidelines are set in place for which code should be manually or automatically reviewed from a security perspective?
How are these guidelines communicated and enforced?</t>
        </is>
      </c>
      <c r="D26">
        <f>IFERROR(VLOOKUP(C26,lookups!$A$1:$B$5,2,FALSE),0)</f>
        <v/>
      </c>
    </row>
    <row r="27">
      <c r="B27" s="10" t="inlineStr">
        <is>
          <t>G.2.5 Asset inventory
How is a system component inventory maintained for hardware, software licenses, software versions, component owners, machine names, and network addresses with identifiers for each of these?
Is the components inventory process automated or manual?
Are the artifacts machine-readable (such as through SBOM generation)?
What process is used for the asset inventory to be updated when a product or system goes to end-of-life?</t>
        </is>
      </c>
      <c r="D27">
        <f>IFERROR(VLOOKUP(C27,lookups!$A$1:$B$5,2,FALSE),0)</f>
        <v/>
      </c>
    </row>
    <row r="28">
      <c r="B28" s="10" t="inlineStr">
        <is>
          <t>G.2.6 Protection of information at rest
What provisions are made for the protection of information at rest included in agreements with suppliers, developers, system integrators, and external system providers?
What policies are set in place for the use of cryptography in the organization’s security policy?</t>
        </is>
      </c>
      <c r="D28">
        <f>IFERROR(VLOOKUP(C28,lookups!$A$1:$B$5,2,FALSE),0)</f>
        <v/>
      </c>
    </row>
    <row r="29" ht="20" customHeight="1">
      <c r="A29" s="9" t="n"/>
      <c r="B29" s="9" t="inlineStr">
        <is>
          <t>G.3 Manage suppliers</t>
        </is>
      </c>
      <c r="C29" s="9" t="n"/>
      <c r="D29" s="9" t="n"/>
      <c r="E29" s="9">
        <f>AVERAGE(DataEntry!30:34)</f>
        <v/>
      </c>
    </row>
    <row r="30">
      <c r="B30" s="10" t="inlineStr">
        <is>
          <t>G.3.1 Security-related contract terms
What requirements language is included in system and services acquisition policies and contracts related to adherence to security policies, security requirements, and secure SDLC practices compatible with compliance requirements?
Do you require SBOMs, provenance data, and attestation of adhering to security practices from your suppliers?
How is adherence to contract terms verified?</t>
        </is>
      </c>
      <c r="D30">
        <f>IFERROR(VLOOKUP(C30,lookups!$A$1:$B$5,2,FALSE),0)</f>
        <v/>
      </c>
    </row>
    <row r="31">
      <c r="B31" s="10" t="inlineStr">
        <is>
          <t>G.3.2 Separation of duties
How is separation of duties established for decisions that require the acquisition of information systems and supply chain components, such as components entering the enterprise's supply chain or contracted developers promoting code from development to production?</t>
        </is>
      </c>
      <c r="D31">
        <f>IFERROR(VLOOKUP(C31,lookups!$A$1:$B$5,2,FALSE),0)</f>
        <v/>
      </c>
    </row>
    <row r="32">
      <c r="B32" s="10" t="inlineStr">
        <is>
          <t>G.3.3 Information disclosure
What kind of contract language is in place to stipulate that contractor systems conduct monitoring to detect unauthorized disclosure of any data?
What kind of contract language is in place to require that vendors notify of unauthorized disclosure?</t>
        </is>
      </c>
      <c r="D32">
        <f>IFERROR(VLOOKUP(C32,lookups!$A$1:$B$5,2,FALSE),0)</f>
        <v/>
      </c>
    </row>
    <row r="33">
      <c r="B33" s="10" t="inlineStr">
        <is>
          <t>G.3.4 Session audits
Under what circumstances are contract employees included in audits to identify security risks in the supply chain?</t>
        </is>
      </c>
      <c r="D33">
        <f>IFERROR(VLOOKUP(C33,lookups!$A$1:$B$5,2,FALSE),0)</f>
        <v/>
      </c>
    </row>
    <row r="34">
      <c r="B34" s="10" t="inlineStr">
        <is>
          <t>G.3.5 Notification agreement
What notification agreements and monitoring capabilities are established with your suppliers related to supply chain threats or incidents?
How much notification does a vendor provide when a product goes end-of-life?
What end-of-life options exist?</t>
        </is>
      </c>
      <c r="D34">
        <f>IFERROR(VLOOKUP(C34,lookups!$A$1:$B$5,2,FALSE),0)</f>
        <v/>
      </c>
    </row>
    <row r="35" ht="20" customHeight="1">
      <c r="A35" s="9" t="n"/>
      <c r="B35" s="9" t="inlineStr">
        <is>
          <t>G.4 Training</t>
        </is>
      </c>
      <c r="C35" s="9" t="n"/>
      <c r="D35" s="9" t="n"/>
      <c r="E35" s="9">
        <f>AVERAGE(DataEntry!36:38)</f>
        <v/>
      </c>
    </row>
    <row r="36">
      <c r="B36" s="10" t="inlineStr">
        <is>
          <t>G.4.1 Role-based training
Can you tell me about the training given to employees and to vendors related to software supply chain security?
Do you require team members to regularly participate in secure software architecture, design, development, testing, and software supply chain training and monitor their completion of training?
Is the training specific to their roles, development tools, and language?</t>
        </is>
      </c>
      <c r="D36">
        <f>IFERROR(VLOOKUP(C36,lookups!$A$1:$B$5,2,FALSE),0)</f>
        <v/>
      </c>
    </row>
    <row r="37">
      <c r="B37" s="10" t="inlineStr">
        <is>
          <t>G.4.2 Contingency training
Can you tell me about contingency training for preparing for emergency response, backup operations, and post-disaster recovery?</t>
        </is>
      </c>
      <c r="D37">
        <f>IFERROR(VLOOKUP(C37,lookups!$A$1:$B$5,2,FALSE),0)</f>
        <v/>
      </c>
    </row>
    <row r="38">
      <c r="B38" s="10" t="inlineStr">
        <is>
          <t>G.4.3 Gather attack trends
How do you monitor new attack trends and vulnerabilities applicable to your software, such as by monitoring a cyberthreat intelligence feed and attacker forums, or attending conferences?</t>
        </is>
      </c>
      <c r="D38">
        <f>IFERROR(VLOOKUP(C38,lookups!$A$1:$B$5,2,FALSE),0)</f>
        <v/>
      </c>
    </row>
    <row r="39" ht="20" customHeight="1">
      <c r="A39" s="9" t="n"/>
      <c r="B39" s="9" t="inlineStr">
        <is>
          <t>G.5 Assess and manage risk</t>
        </is>
      </c>
      <c r="C39" s="9" t="n"/>
      <c r="D39" s="9" t="n"/>
      <c r="E39" s="9">
        <f>AVERAGE(DataEntry!40:43)</f>
        <v/>
      </c>
    </row>
    <row r="40">
      <c r="B40" s="10" t="inlineStr">
        <is>
          <t>G.5.1 Criticality analysis
What process do you have for performing criticality analysis as input to assessments of supply chain risk management activities?</t>
        </is>
      </c>
      <c r="D40">
        <f>IFERROR(VLOOKUP(C40,lookups!$A$1:$B$5,2,FALSE),0)</f>
        <v/>
      </c>
    </row>
    <row r="41">
      <c r="B41" s="10" t="inlineStr">
        <is>
          <t>G.5.2 Track security risks and decisions
How are the responses to security risks and design decisions recorded, including how mitigations are to be achieved?
How are approved exceptions to the security requirements periodically evaluated?</t>
        </is>
      </c>
      <c r="D41">
        <f>IFERROR(VLOOKUP(C41,lookups!$A$1:$B$5,2,FALSE),0)</f>
        <v/>
      </c>
    </row>
    <row r="42">
      <c r="B42" s="10" t="inlineStr">
        <is>
          <t>G.5.3 Security metrics
What security metrics do you track to indicate how you are doing relative to developing secure software products and having an effective and efficient software security program (e.g., security outcomes, MTTR)?
Are these metrics collected automatically or manually?</t>
        </is>
      </c>
      <c r="D42">
        <f>IFERROR(VLOOKUP(C42,lookups!$A$1:$B$5,2,FALSE),0)</f>
        <v/>
      </c>
    </row>
    <row r="43">
      <c r="B43" s="10" t="inlineStr">
        <is>
          <t>G.5.4 Data-informed product decisions
Do you use the toolchain to gather information that informs security decision-making automatically?
If not, is this information collected and reviewed manually?</t>
        </is>
      </c>
      <c r="D43">
        <f>IFERROR(VLOOKUP(C43,lookups!$A$1:$B$5,2,FALSE),0)</f>
        <v/>
      </c>
    </row>
    <row r="44" ht="28" customHeight="1">
      <c r="A44" s="11" t="inlineStr">
        <is>
          <t>Product</t>
        </is>
      </c>
      <c r="B44" s="12" t="n"/>
      <c r="C44" s="12" t="n"/>
      <c r="D44" s="12" t="n"/>
      <c r="E44" s="12" t="n"/>
    </row>
    <row r="45" ht="20" customHeight="1">
      <c r="A45" s="13" t="n"/>
      <c r="B45" s="13" t="inlineStr">
        <is>
          <t>P.1 Develop security requirements</t>
        </is>
      </c>
      <c r="C45" s="13" t="n"/>
      <c r="D45" s="13" t="n"/>
      <c r="E45" s="13">
        <f>AVERAGE(DataEntry!46:47)</f>
        <v/>
      </c>
    </row>
    <row r="46">
      <c r="B46" s="10" t="inlineStr">
        <is>
          <t>P.1.1 Product security requirements
How are risk-reducing security architecture and design requirements for products considered and developed?
Which of the following strategies are considered: the use of memory-safe languages, secure frameworks, isolation and sandboxing?
Are completion and adherence tracked?</t>
        </is>
      </c>
      <c r="D46">
        <f>IFERROR(VLOOKUP(C46,lookups!$A$1:$B$5,2,FALSE),0)</f>
        <v/>
      </c>
    </row>
    <row r="47">
      <c r="B47" s="10" t="inlineStr">
        <is>
          <t>P.1.2 Software release integrity
What software integrity artifacts do you make available to software acquirers, such as cryptographic hashes of release files?
Do you use a certificate authority for code/commit signing?
How often do you review code signing processes, such as certificate renewal and key rotation?
Do you ensure use a dedicated, protected signing server when signing is required?
What kind of license is declared for a project?</t>
        </is>
      </c>
      <c r="D47">
        <f>IFERROR(VLOOKUP(C47,lookups!$A$1:$B$5,2,FALSE),0)</f>
        <v/>
      </c>
    </row>
    <row r="48" ht="20" customHeight="1">
      <c r="A48" s="13" t="n"/>
      <c r="B48" s="13" t="inlineStr">
        <is>
          <t>P.2 Build security in</t>
        </is>
      </c>
      <c r="C48" s="13" t="n"/>
      <c r="D48" s="13" t="n"/>
      <c r="E48" s="13">
        <f>AVERAGE(DataEntry!49:53)</f>
        <v/>
      </c>
    </row>
    <row r="49">
      <c r="B49" s="10" t="inlineStr">
        <is>
          <t>P.2.1 Security design review
For all critical software components and external services that your team operates and owns, has a qualified person not involved in the design reviewed the design and conducted an attack surface analysis and threat model?
What kind of approaches are you using to narrow attack vectors?
What kind of tool or methodology (like STRIDE) do you use to structure your threat modeling?
Do you perform analysis such that only required modules are included in the product and unused modules are uninstalled and removed, decreasing the attack surface?
How are unused modules identified - such as 'debloating' a product for unused components and containers?</t>
        </is>
      </c>
      <c r="D49">
        <f>IFERROR(VLOOKUP(C49,lookups!$A$1:$B$5,2,FALSE),0)</f>
        <v/>
      </c>
    </row>
    <row r="50">
      <c r="B50" s="10" t="inlineStr">
        <is>
          <t>P.2.2 Secure coding
What kind of secure coding practices are used?
How are these practices communicated to developers and enforced?</t>
        </is>
      </c>
      <c r="D50">
        <f>IFERROR(VLOOKUP(C50,lookups!$A$1:$B$5,2,FALSE),0)</f>
        <v/>
      </c>
    </row>
    <row r="51">
      <c r="B51" s="10" t="inlineStr">
        <is>
          <t>P.2.3 Secure-by-default implementation
Are the default installation settings for products, platform, network infrastructure, services defined to be secure by default?</t>
        </is>
      </c>
      <c r="D51">
        <f>IFERROR(VLOOKUP(C51,lookups!$A$1:$B$5,2,FALSE),0)</f>
        <v/>
      </c>
    </row>
    <row r="52">
      <c r="B52" s="10" t="inlineStr">
        <is>
          <t>P.2.4 Standard security features
Please tell me about your philosophy of whether it is better to use available security features or to 'roll your own,' for example, log management, identity management, access control, and vulnerability management?
What factors determine whether you use in-house or standard features?</t>
        </is>
      </c>
      <c r="D52">
        <f>IFERROR(VLOOKUP(C52,lookups!$A$1:$B$5,2,FALSE),0)</f>
        <v/>
      </c>
    </row>
    <row r="53">
      <c r="B53" s="10" t="inlineStr">
        <is>
          <t>P.2.5 In-house components
What processes are used to scan in-house components built using SDLC processes for vulnerabilities and how is the process similar or different to what is done for third-party components?
What causes a need for a new version?
Are in-house components monitored to ensure they are regularly maintained?</t>
        </is>
      </c>
      <c r="D53">
        <f>IFERROR(VLOOKUP(C53,lookups!$A$1:$B$5,2,FALSE),0)</f>
        <v/>
      </c>
    </row>
    <row r="54" ht="20" customHeight="1">
      <c r="A54" s="13" t="n"/>
      <c r="B54" s="13" t="inlineStr">
        <is>
          <t>P.3 Manage component and container choices</t>
        </is>
      </c>
      <c r="C54" s="13" t="n"/>
      <c r="D54" s="13" t="n"/>
      <c r="E54" s="13">
        <f>AVERAGE(DataEntry!55:59)</f>
        <v/>
      </c>
    </row>
    <row r="55">
      <c r="B55" s="10" t="inlineStr">
        <is>
          <t>P.3.1 Component and container choice
What kind of approval process do you have, if any, for third-party libraries and containers included in a product?
What do you consider when selecting a third-party component or container?
Do you consider solutions with the least functionality to reduce the attack surface?
How would the approval process handle dependencies that are no longer receiving updates?
Do you look at the OpenSSF Scorecard metrics for a component?
Are you concerned when a component contains binary artifacts that cannot be easily reviewed and more easily sneak in a vulnerability?
Do you have a Deny List to prevent the choice of vulnerable and malicious components?</t>
        </is>
      </c>
      <c r="D55">
        <f>IFERROR(VLOOKUP(C55,lookups!$A$1:$B$5,2,FALSE),0)</f>
        <v/>
      </c>
    </row>
    <row r="56">
      <c r="B56" s="10" t="inlineStr">
        <is>
          <t>P.3.2 Trusted repositories
Do you search for candidate components in package managers trusted by your organization?
Do you use container registries you trust?</t>
        </is>
      </c>
      <c r="D56">
        <f>IFERROR(VLOOKUP(C56,lookups!$A$1:$B$5,2,FALSE),0)</f>
        <v/>
      </c>
    </row>
    <row r="57">
      <c r="B57" s="10" t="inlineStr">
        <is>
          <t>P.3.3 Require signed commits
Do you require the software producers to sign code commits of the components and tools you bring into your product?</t>
        </is>
      </c>
      <c r="D57">
        <f>IFERROR(VLOOKUP(C57,lookups!$A$1:$B$5,2,FALSE),0)</f>
        <v/>
      </c>
    </row>
    <row r="58">
      <c r="B58" s="10" t="inlineStr">
        <is>
          <t>P.3.4 Vetted third-party component and container repositories
Do you have a local component repository in which binaries and source code of third-party components are stored?
Do you rebuild a component from source when possible?</t>
        </is>
      </c>
      <c r="D58">
        <f>IFERROR(VLOOKUP(C58,lookups!$A$1:$B$5,2,FALSE),0)</f>
        <v/>
      </c>
    </row>
    <row r="59">
      <c r="B59" s="10" t="inlineStr">
        <is>
          <t>P.3.5 Prevent component vetting bypass
In what ways could a developer bypass the component vetting process?
What are the mechanisms in place to monitor whether developers are consuming third party code through the approved ingestion method and not bypassing the vetting process?</t>
        </is>
      </c>
      <c r="D59">
        <f>IFERROR(VLOOKUP(C59,lookups!$A$1:$B$5,2,FALSE),0)</f>
        <v/>
      </c>
    </row>
    <row r="60" ht="20" customHeight="1">
      <c r="A60" s="13" t="n"/>
      <c r="B60" s="13" t="inlineStr">
        <is>
          <t>P.4 Discover vulnerabilities</t>
        </is>
      </c>
      <c r="C60" s="13" t="n"/>
      <c r="D60" s="13" t="n"/>
      <c r="E60" s="13">
        <f>AVERAGE(DataEntry!61:65)</f>
        <v/>
      </c>
    </row>
    <row r="61">
      <c r="B61" s="10" t="inlineStr">
        <is>
          <t>P.4.1 Security code review
How does the team perform security-related code reviews?
Is a secure coding standard used?
How do discovered vulnerabilities get recorded, tracked, and remediated?</t>
        </is>
      </c>
      <c r="D61">
        <f>IFERROR(VLOOKUP(C61,lookups!$A$1:$B$5,2,FALSE),0)</f>
        <v/>
      </c>
    </row>
    <row r="62">
      <c r="B62" s="10" t="inlineStr">
        <is>
          <t>P.4.2 Automated security scanning tools
What security tools are in your toolchain?
SAST?
DAST?
IAST?
How often is the scanning done for third-party components?
Do you use a tool to detect secrets in code?
What happens with the reported vulnerabilities?
Do you scan your tools for vulnerabilities?</t>
        </is>
      </c>
      <c r="D62">
        <f>IFERROR(VLOOKUP(C62,lookups!$A$1:$B$5,2,FALSE),0)</f>
        <v/>
      </c>
    </row>
    <row r="63">
      <c r="B63" s="10" t="inlineStr">
        <is>
          <t>P.4.3 Automated vulnerability detection
How is code reviewed, analyzed, and tested to identify or confirm the presence, remediation, and disclosure of previously-undetected vulnerabilities such as through automated tools?
How are the tools in the build and deploy pipelines reviewed, analyzed, and tested to identify or confirm the presence, remediation, and disclosure of previously-undetected vulnerabilities such as through automated tools?</t>
        </is>
      </c>
      <c r="D63">
        <f>IFERROR(VLOOKUP(C63,lookups!$A$1:$B$5,2,FALSE),0)</f>
        <v/>
      </c>
    </row>
    <row r="64">
      <c r="B64" s="10" t="inlineStr">
        <is>
          <t>P.4.4 Executable security testing
How are security features tested?
How are test cases developed to test the security of an application?
Is security testing factored into a product's test suite?
Is executable code testing, such as in-house or external penetration testing, used to find vulnerabilities not found by previous reviews, analysis, and testing?
Do you do executable testing on containers?
Do you test your build process, scripts, GitHub actions?</t>
        </is>
      </c>
      <c r="D64">
        <f>IFERROR(VLOOKUP(C64,lookups!$A$1:$B$5,2,FALSE),0)</f>
        <v/>
      </c>
    </row>
    <row r="65">
      <c r="B65" s="10" t="inlineStr">
        <is>
          <t>P.4.5 Regular third-party compliance
How do you verify that third-party software components continue to comply with the requirements defined by the organization, such as through using a secure SDLC and the delivery of attestation of security practices?
Do you check that components are being maintained and are not at end-of-life or have been abandoned?
How are known critical vulnerabilities in third-party and open-source components and containers mitigated?</t>
        </is>
      </c>
      <c r="D65">
        <f>IFERROR(VLOOKUP(C65,lookups!$A$1:$B$5,2,FALSE),0)</f>
        <v/>
      </c>
    </row>
    <row r="66" ht="20" customHeight="1">
      <c r="A66" s="13" t="n"/>
      <c r="B66" s="13" t="inlineStr">
        <is>
          <t>P.5 Manage vulnerable components and containers</t>
        </is>
      </c>
      <c r="C66" s="13" t="n"/>
      <c r="D66" s="13" t="n"/>
      <c r="E66" s="13">
        <f>AVERAGE(DataEntry!67:68)</f>
        <v/>
      </c>
    </row>
    <row r="67">
      <c r="B67" s="10" t="inlineStr">
        <is>
          <t>P.5.1 SBOM consumption
Does anyone check the SBOM information about pending security vulnerabilities?
How do you consume the SBOMs for your components?
Do you have any specific experience being aided by information provided by the SBOM?
How do you feel about the assistance provided by tools to help you consume an SBOM?
If not now, do you have plans to consume SBOMs in the future?
Do you consider and trust the VEX information in the SBOM?
What expectations do you put on the component producers for the vulnerabilities identified in the SBOM?</t>
        </is>
      </c>
      <c r="D67">
        <f>IFERROR(VLOOKUP(C67,lookups!$A$1:$B$5,2,FALSE),0)</f>
        <v/>
      </c>
    </row>
    <row r="68">
      <c r="B68" s="10" t="inlineStr">
        <is>
          <t>P.5.2 Dependency update
What is your strategy for updating dependencies based on SCA, SBOM, or automated pull requests?
Do you have a strategy for updating all, such as through a tool such as Dependabot that automates PR?
Does the project use tools to help update its dependencies e.g. Dependabot, RenovateBot?
Are the software assets that require automated updates defined from a criticality/risk-based perspective?
How are containers updated when a vulnerability is detected?</t>
        </is>
      </c>
      <c r="D68">
        <f>IFERROR(VLOOKUP(C68,lookups!$A$1:$B$5,2,FALSE),0)</f>
        <v/>
      </c>
    </row>
    <row r="69" ht="28" customHeight="1">
      <c r="A69" s="14" t="inlineStr">
        <is>
          <t>Environment</t>
        </is>
      </c>
      <c r="B69" s="15" t="n"/>
      <c r="C69" s="15" t="n"/>
      <c r="D69" s="15" t="n"/>
      <c r="E69" s="15" t="n"/>
    </row>
    <row r="70" ht="20" customHeight="1">
      <c r="A70" s="16" t="n"/>
      <c r="B70" s="16" t="inlineStr">
        <is>
          <t>E.1 Safeguard artifact integrity</t>
        </is>
      </c>
      <c r="C70" s="16" t="n"/>
      <c r="D70" s="16" t="n"/>
      <c r="E70" s="16">
        <f>AVERAGE(DataEntry!71:76)</f>
        <v/>
      </c>
    </row>
    <row r="71">
      <c r="B71" s="10" t="inlineStr">
        <is>
          <t>E.1.1 Safely store release artifacts
What files and supporting data (like integrity validation, provenance, and metadata) do you securely archive and retain for each software release?</t>
        </is>
      </c>
      <c r="D71">
        <f>IFERROR(VLOOKUP(C71,lookups!$A$1:$B$5,2,FALSE),0)</f>
        <v/>
      </c>
    </row>
    <row r="72">
      <c r="B72" s="10" t="inlineStr">
        <is>
          <t>E.1.2 Version control
Are code and other important project artifacts stored with version control with access granted to strongly-authenticated personnel using the principle of least privilege?</t>
        </is>
      </c>
      <c r="D72">
        <f>IFERROR(VLOOKUP(C72,lookups!$A$1:$B$5,2,FALSE),0)</f>
        <v/>
      </c>
    </row>
    <row r="73">
      <c r="B73" s="10" t="inlineStr">
        <is>
          <t>E.1.3 Multi-factor authentication (MFA)
Is MFA mandated and enforced at the source code repository level?
Are soft or physical tokens used?
Is MFA enforced for endpoints?</t>
        </is>
      </c>
      <c r="D73">
        <f>IFERROR(VLOOKUP(C73,lookups!$A$1:$B$5,2,FALSE),0)</f>
        <v/>
      </c>
    </row>
    <row r="74">
      <c r="B74" s="10" t="inlineStr">
        <is>
          <t>E.1.4 Developer SSH key
Do you avoid using passwords through the use of SSH keys, SSH certificates, or short-term rotated Access Tokens?</t>
        </is>
      </c>
      <c r="D74">
        <f>IFERROR(VLOOKUP(C74,lookups!$A$1:$B$5,2,FALSE),0)</f>
        <v/>
      </c>
    </row>
    <row r="75">
      <c r="B75" s="10" t="inlineStr">
        <is>
          <t>E.1.5 Branch protection
Do you use branch protection settings to enforce security policies, such as requiring reviews, passing checks, preventing overwriting of history, and signed commits before code is accepted into the main branch?
In high assurance, high risk environments, is commit signing with full-attestation required?</t>
        </is>
      </c>
      <c r="D75">
        <f>IFERROR(VLOOKUP(C75,lookups!$A$1:$B$5,2,FALSE),0)</f>
        <v/>
      </c>
    </row>
    <row r="76">
      <c r="B76" s="10" t="inlineStr">
        <is>
          <t>E.1.6 Decommission assets
What decommissioning procedures are in place when a live product or system goes to end-of-life?</t>
        </is>
      </c>
      <c r="D76">
        <f>IFERROR(VLOOKUP(C76,lookups!$A$1:$B$5,2,FALSE),0)</f>
        <v/>
      </c>
    </row>
    <row r="77" ht="20" customHeight="1">
      <c r="A77" s="16" t="n"/>
      <c r="B77" s="16" t="inlineStr">
        <is>
          <t>E.2 Safeguard build integrity</t>
        </is>
      </c>
      <c r="C77" s="16" t="n"/>
      <c r="D77" s="16" t="n"/>
      <c r="E77" s="16">
        <f>AVERAGE(DataEntry!78:85)</f>
        <v/>
      </c>
    </row>
    <row r="78">
      <c r="B78" s="10" t="inlineStr">
        <is>
          <t>E.2.1 Release policy verification
Do you have a templated build policy that specifies the required build workflow to ensure the integrity, authentication, and auditability?
Do you verify the build policy in a cryptographically provable way, such as with in-toto?</t>
        </is>
      </c>
      <c r="D78">
        <f>IFERROR(VLOOKUP(C78,lookups!$A$1:$B$5,2,FALSE),0)</f>
        <v/>
      </c>
    </row>
    <row r="79">
      <c r="B79" s="10" t="inlineStr">
        <is>
          <t>E.2.2 Verify dependencies and environment
Can you track a package back to its repo?
Do you verify the integrity (i.e. digital signature or hash match) and the provenance data of each component and container?
Do you validate that the build environment's sources and dependencies come from a secure, trusted source of truth?
What is your dependency version constraint strategy, e.g. how do you manage pinning and floating versions of your dependencies?</t>
        </is>
      </c>
      <c r="D79">
        <f>IFERROR(VLOOKUP(C79,lookups!$A$1:$B$5,2,FALSE),0)</f>
        <v/>
      </c>
    </row>
    <row r="80">
      <c r="B80" s="10" t="inlineStr">
        <is>
          <t>E.2.3 Defensive compilation and build
Do you use compiler, interpreter, and build tool features to detect vulnerabilities?
Do you have a Deny List to prevent using a vulnerable and/or malicious component in the build?</t>
        </is>
      </c>
      <c r="D80">
        <f>IFERROR(VLOOKUP(C80,lookups!$A$1:$B$5,2,FALSE),0)</f>
        <v/>
      </c>
    </row>
    <row r="81">
      <c r="B81" s="10" t="inlineStr">
        <is>
          <t>E.2.4 CI/CD hosting and automation
Are your build steps defined in a build script, with the only manual step being to invoke the script?
Is the build definition executed by the build service stored in a version control system fetched through a trusted channel with a trustworthy provenance chain?
Does the build run on a hosted build platform?
Are the build steps, sources, and dependencies declared up front with immutable references/use immutable artifacts stored in a local repository manager?
Are infrastructure, build scripts, and GitHub Actions handled 'as code', such as with code review, scanning, testing, and version control?
Are configuration changes reviewed?
Are CI/CD pipelines standardized across the enterprise?</t>
        </is>
      </c>
      <c r="D81">
        <f>IFERROR(VLOOKUP(C81,lookups!$A$1:$B$5,2,FALSE),0)</f>
        <v/>
      </c>
    </row>
    <row r="82">
      <c r="B82" s="10" t="inlineStr">
        <is>
          <t>E.2.5 Secured orchestration platform
Are containers used throughout the build process?
Do you deploy Kubernetes as the orchestration layer?</t>
        </is>
      </c>
      <c r="D82">
        <f>IFERROR(VLOOKUP(C82,lookups!$A$1:$B$5,2,FALSE),0)</f>
        <v/>
      </c>
    </row>
    <row r="83">
      <c r="B83" s="10" t="inlineStr">
        <is>
          <t>E.2.6 Reproducible builds
Do you practice reproducible builds on different protected environments and compare bit-for-bit results?</t>
        </is>
      </c>
      <c r="D83">
        <f>IFERROR(VLOOKUP(C83,lookups!$A$1:$B$5,2,FALSE),0)</f>
        <v/>
      </c>
    </row>
    <row r="84">
      <c r="B84" s="10" t="inlineStr">
        <is>
          <t>E.2.7 Build output
How does the project store the build artifacts?
How does the project build and publish official packages?</t>
        </is>
      </c>
      <c r="D84">
        <f>IFERROR(VLOOKUP(C84,lookups!$A$1:$B$5,2,FALSE),0)</f>
        <v/>
      </c>
    </row>
    <row r="85" ht="20" customHeight="1">
      <c r="B85" s="17" t="inlineStr">
        <is>
          <t>E.2.8 Hardened and isolated builds
Is the build service run in an ephemeral environment, such as a container or VM, provisioned solely for the build?
Is the build service run in an isolated environment free of influence from other build instances?
Can the build output be affected by user parameters other than the build entry point?
Is the build run with no network access (i.e., hermetic)?</t>
        </is>
      </c>
      <c r="D85">
        <f>IFERROR(VLOOKUP(C85,lookups!$A$1:$B$5,2,FALSE),0)</f>
        <v/>
      </c>
      <c r="E85">
        <f>AVERAGE(DataEntry!86:95)</f>
        <v/>
      </c>
    </row>
    <row r="86">
      <c r="A86" s="16" t="n"/>
      <c r="B86" s="16" t="inlineStr">
        <is>
          <t>E.3 Secure software development environment</t>
        </is>
      </c>
      <c r="C86" s="16" t="n"/>
      <c r="D86" s="16">
        <f>IFERROR(VLOOKUP(C86,lookups!$A$1:$B$5,2,FALSE),0)</f>
        <v/>
      </c>
      <c r="E86" s="16">
        <f>AVERAGE(DataEntry!87:96)</f>
        <v/>
      </c>
    </row>
    <row r="87">
      <c r="B87" s="10" t="inlineStr">
        <is>
          <t>E.3.1 Authentication
Are employees and contractors authenticated to enable access control, traceability, non-repudiation, chain of custody, and provenance for systems, software, and services?
Where do you store access credentials (e.g., hashes for passwords) and secrets in a secured (e.g., encrypted) location, such as a secure vault?</t>
        </is>
      </c>
      <c r="D87">
        <f>IFERROR(VLOOKUP(C87,lookups!$A$1:$B$5,2,FALSE),0)</f>
        <v/>
      </c>
    </row>
    <row r="88">
      <c r="B88" s="10" t="inlineStr">
        <is>
          <t>E.3.2 Environmental separation
Are environments involved in software development (e.g., endpoints, development, build, test, deployment) separated and protected from physical and remote access to the build environment?
Is access logged?
What kind of approval is needed for access to the build environment?
Are the build environment workstations held to a security standard, e.g. up-to-date patches, anti-virus definitions, etc?</t>
        </is>
      </c>
      <c r="D88">
        <f>IFERROR(VLOOKUP(C88,lookups!$A$1:$B$5,2,FALSE),0)</f>
        <v/>
      </c>
    </row>
    <row r="89">
      <c r="B89" s="10" t="inlineStr">
        <is>
          <t>E.3.3 Role-based access control
How are authorization levels for accounts associated with roles and the associated level of access control, including remote access, proper vetting of contractors, and that authorization does not exceed the period of performance?
How are access control violations handled?</t>
        </is>
      </c>
      <c r="D89">
        <f>IFERROR(VLOOKUP(C89,lookups!$A$1:$B$5,2,FALSE),0)</f>
        <v/>
      </c>
    </row>
    <row r="90">
      <c r="B90" s="10" t="inlineStr">
        <is>
          <t>E.3.4 Information flow enforcement
How is information flow enforced to ensure only the required information is communicated across trust boundaries to participants in the supply chain through mechanisms that ensure transmission confidentiality and integrity?
What kind of requirements for transmission confidentiality and integrity are integrated into agreements with suppliers?</t>
        </is>
      </c>
      <c r="D90">
        <f>IFERROR(VLOOKUP(C90,lookups!$A$1:$B$5,2,FALSE),0)</f>
        <v/>
      </c>
    </row>
    <row r="91">
      <c r="B91" s="10" t="inlineStr">
        <is>
          <t>E.3.5 Baseline configuration
Is a baseline configuration of the information system and development environment in place to provide a starting point for tracking changes to components, code, and/or settings for traceability and provenance?
Who sets the baseline?</t>
        </is>
      </c>
      <c r="D91">
        <f>IFERROR(VLOOKUP(C91,lookups!$A$1:$B$5,2,FALSE),0)</f>
        <v/>
      </c>
    </row>
    <row r="92">
      <c r="B92" s="10" t="inlineStr">
        <is>
          <t>E.3.6 Monitor changes to configuration settings
What kind of monitoring and auditing of changes to configuration settings is in place?
What designated employees are alerted when an unauthorized change occurs?</t>
        </is>
      </c>
      <c r="D92">
        <f>IFERROR(VLOOKUP(C92,lookups!$A$1:$B$5,2,FALSE),0)</f>
        <v/>
      </c>
    </row>
    <row r="93">
      <c r="B93" s="10" t="inlineStr">
        <is>
          <t>E.3.7 Boundary protection
How are development, test, and security assessment tools and operational environments separated and isolated from external networks or information systems and each other, as appropriate considering trust boundaries?
How are trust boundaries considered, and how is the separation/isolation implemented?</t>
        </is>
      </c>
      <c r="D93">
        <f>IFERROR(VLOOKUP(C93,lookups!$A$1:$B$5,2,FALSE),0)</f>
        <v/>
      </c>
    </row>
    <row r="94">
      <c r="B94" s="10" t="inlineStr">
        <is>
          <t>E.3.8 Key rotation
What is your key rotation policy?</t>
        </is>
      </c>
      <c r="D94">
        <f>IFERROR(VLOOKUP(C94,lookups!$A$1:$B$5,2,FALSE),0)</f>
        <v/>
      </c>
    </row>
    <row r="95">
      <c r="B95" s="10" t="inlineStr">
        <is>
          <t>E.3.9 Ephemeral credentials
Do you use short-lived tokens for access management of machines and services such as CI/CD pipeline agents?
Who uses these tokens and for what types of systems?</t>
        </is>
      </c>
      <c r="D95">
        <f>IFERROR(VLOOKUP(C95,lookups!$A$1:$B$5,2,FALSE),0)</f>
        <v/>
      </c>
    </row>
    <row r="96" ht="28" customHeight="1">
      <c r="A96" s="1" t="inlineStr">
        <is>
          <t>Deployment</t>
        </is>
      </c>
      <c r="B96" s="10" t="inlineStr">
        <is>
          <t>E.3.10 Establish a root of trust
Do you have a root of trust that can perform specific, critical security functions such as storing keys for cryptographic functions or enabling secure boot? How are these implemented?</t>
        </is>
      </c>
      <c r="D96">
        <f>IFERROR(VLOOKUP(C96,lookups!$A$1:$B$5,2,FALSE),0)</f>
        <v/>
      </c>
    </row>
    <row r="97" ht="20" customHeight="1">
      <c r="A97" s="18" t="inlineStr">
        <is>
          <t>Deployment</t>
        </is>
      </c>
      <c r="B97" s="19" t="inlineStr">
        <is>
          <t>D.1 Respond to/disclose vulnerabilities</t>
        </is>
      </c>
      <c r="C97" s="19" t="n"/>
      <c r="D97" s="19" t="n"/>
      <c r="E97" s="19">
        <f>AVERAGE(DataEntry!98:103)</f>
        <v/>
      </c>
    </row>
    <row r="98">
      <c r="A98" s="20" t="n"/>
      <c r="B98" s="20" t="inlineStr">
        <is>
          <t>D.1 Respond to/disclose vulnerabilities</t>
        </is>
      </c>
      <c r="C98" s="20" t="n"/>
      <c r="D98" s="20">
        <f>IFERROR(VLOOKUP(C98,lookups!$A$1:$B$5,2,FALSE),0)</f>
        <v/>
      </c>
      <c r="E98" s="20">
        <f>AVERAGE(DataEntry!99:104)</f>
        <v/>
      </c>
    </row>
    <row r="99">
      <c r="B99" s="10" t="inlineStr">
        <is>
          <t>D.1.1 Vulnerability analysis
How are discovered vulnerabilities recorded and triaged?
How are the vulnerabilities prioritized for remediation?
Is a severity rating, such as CVSS, used to aid prioritization?
Is the access control to vulnerability information more restrictive than plain bug tracker defects?</t>
        </is>
      </c>
      <c r="D99">
        <f>IFERROR(VLOOKUP(C99,lookups!$A$1:$B$5,2,FALSE),0)</f>
        <v/>
      </c>
    </row>
    <row r="100">
      <c r="B100" s="10" t="inlineStr">
        <is>
          <t>D.1.2 Risk-based vulnerability remediation
Can you tell me about your process for making decisions on which vulnerabilities should be remediated?
What is your process for responding to reported incidents quickly?
Can high-priority vulnerabilities prevent the shipment of the product?</t>
        </is>
      </c>
      <c r="D100">
        <f>IFERROR(VLOOKUP(C100,lookups!$A$1:$B$5,2,FALSE),0)</f>
        <v/>
      </c>
    </row>
    <row r="101">
      <c r="B101" s="10" t="inlineStr">
        <is>
          <t>D.1.3 Vulnerability disclosure
What is your process for addressing vulnerability disclosure and remediation with roles, responsibilities, and processes in place?
How do you develop and release security advisories to your software acquirers?
Do you publish a security policy (via a security.md file) to inform users about a vulnerability and how to report it?
Do users know how to report vulnerabilities?
Who handles PSIRT?</t>
        </is>
      </c>
      <c r="D101">
        <f>IFERROR(VLOOKUP(C101,lookups!$A$1:$B$5,2,FALSE),0)</f>
        <v/>
      </c>
    </row>
    <row r="102">
      <c r="B102" s="10" t="inlineStr">
        <is>
          <t>D.1.4 Vulnerability eradication
Does your team have a process of proactively eradicating or reducing a whole class of vulnerabilities based upon previously-identified vulnerabilities or incidents?
Are these patterns folded back into the SDLC?</t>
        </is>
      </c>
      <c r="D102">
        <f>IFERROR(VLOOKUP(C102,lookups!$A$1:$B$5,2,FALSE),0)</f>
        <v/>
      </c>
    </row>
    <row r="103">
      <c r="B103" s="10" t="inlineStr">
        <is>
          <t>D.1.5 Emergency artifact fix
How do you handle it when an external artifact has a zero-day vulnerability that is not being fixed by an upstream maintainer in a desired timeframe?</t>
        </is>
      </c>
      <c r="D103">
        <f>IFERROR(VLOOKUP(C103,lookups!$A$1:$B$5,2,FALSE),0)</f>
        <v/>
      </c>
    </row>
    <row r="104" ht="20" customHeight="1">
      <c r="B104" s="17" t="inlineStr">
        <is>
          <t>D.1.6 Root cause analysis
Do you analyze identified vulnerabilities to determine their root cause, including how the vulnerability was injected and, perhaps, how it escaped vulnerability detection efforts and made it into production?
Do you communicate trends to developers? How can trends identified in root cause be factored into your SDLC process?</t>
        </is>
      </c>
      <c r="D104">
        <f>IFERROR(VLOOKUP(C104,lookups!$A$1:$B$5,2,FALSE),0)</f>
        <v/>
      </c>
      <c r="E104">
        <f>AVERAGE(DataEntry!105:106)</f>
        <v/>
      </c>
    </row>
    <row r="105">
      <c r="A105" s="20" t="n"/>
      <c r="B105" s="20" t="inlineStr">
        <is>
          <t>D.2 Monitor intrusions/violations</t>
        </is>
      </c>
      <c r="C105" s="20" t="n"/>
      <c r="D105" s="20">
        <f>IFERROR(VLOOKUP(C105,lookups!$A$1:$B$5,2,FALSE),0)</f>
        <v/>
      </c>
      <c r="E105" s="20">
        <f>AVERAGE(DataEntry!106:107)</f>
        <v/>
      </c>
    </row>
    <row r="106">
      <c r="B106" s="10" t="inlineStr">
        <is>
          <t>D.2.1 System monitoring
Are running systems continuously monitored to gather information for risk decisions, criticality analysis, vulnerability and threat analysis, incident response, and insider threat, including boundary protections of supply chain components and supply chain information flow?
What is the process when an intrusion or violation is detected? Is there a QoS target?</t>
        </is>
      </c>
      <c r="D106">
        <f>IFERROR(VLOOKUP(C106,lookups!$A$1:$B$5,2,FALSE),0)</f>
        <v/>
      </c>
    </row>
    <row r="107">
      <c r="B107" s="10" t="inlineStr">
        <is>
          <t>D.2.2 Build process monitoring
Do you monitor the build chain for unauthorized access and modifications?
 Have you completed an attack surface investigation of your build environment?
 What kinds of actions do you take to narrow the attack vectors?</t>
        </is>
      </c>
      <c r="D107">
        <f>IFERROR(VLOOKUP(C107,lookups!$A$1:$B$5,2,FALSE),0)</f>
        <v/>
      </c>
    </row>
  </sheetData>
  <dataValidations count="2">
    <dataValidation sqref="C17 C18 C19 C20 C21 C23 C24 C25 C26 C27 C28 C30 C31 C32 C33 C34 C36 C37 C38 C40 C41 C42 C43 C46 C47 C49 C50 C51 C52 C53 C55 C56 C57 C58 C59 C61 C62 C63 C64 C65 C67 C68 C71 C72 C73 C74 C75 C76 C78 C79 C80 C81 C82 C83 C84 C86 C87 C88 C89 C90 C91 C92 C93 C94 C95 C98 C99 C100 C101 C102 C103 C105 C106" showDropDown="0" showInputMessage="0" showErrorMessage="0" allowBlank="1" type="list">
      <formula1>"No,Emerging,Progress Being Made,Almost There,Funded"</formula1>
    </dataValidation>
    <dataValidation sqref="C17 C18 C19 C20 C21 C23 C24 C25 C26 C27 C28 C30 C31 C32 C33 C34 C36 C37 C38 C40 C41 C42 C43 C46 C47 C49 C50 C51 C52 C53 C55 C56 C57 C58 C59 C61 C62 C63 C64 C65 C67 C68 C71 C72 C73 C74 C75 C76 C78 C79 C80 C81 C82 C83 C84 C85 C87 C88 C89 C90 C91 C92 C93 C94 C95 C96 C99 C100 C101 C102 C103 C104 C106 C107" showDropDown="0" showInputMessage="0" showErrorMessage="0" allowBlank="1" type="list">
      <formula1>"No,Emerging,Progress Being Made,Almost There,Funded"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10" defaultColWidth="8.83203125" defaultRowHeight="15"/>
  <sheetData>
    <row r="1">
      <c r="A1" t="inlineStr">
        <is>
          <t>No</t>
        </is>
      </c>
      <c r="B1" t="n">
        <v>0</v>
      </c>
    </row>
    <row r="2">
      <c r="A2" t="inlineStr">
        <is>
          <t>Emerging</t>
        </is>
      </c>
      <c r="B2" t="n">
        <v>0.25</v>
      </c>
    </row>
    <row r="3">
      <c r="A3" t="inlineStr">
        <is>
          <t>Progress Being Made</t>
        </is>
      </c>
      <c r="B3" t="n">
        <v>0.5</v>
      </c>
    </row>
    <row r="4">
      <c r="A4" t="inlineStr">
        <is>
          <t>Almost There</t>
        </is>
      </c>
      <c r="B4" t="n">
        <v>0.75</v>
      </c>
    </row>
    <row r="5">
      <c r="A5" t="inlineStr">
        <is>
          <t>Funded</t>
        </is>
      </c>
      <c r="B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topLeftCell="A2" workbookViewId="0">
      <selection activeCell="B16" sqref="B16"/>
    </sheetView>
  </sheetViews>
  <sheetFormatPr baseColWidth="10" defaultColWidth="8.83203125" defaultRowHeight="15"/>
  <cols>
    <col width="42.1640625" customWidth="1" min="1" max="1"/>
  </cols>
  <sheetData>
    <row r="1">
      <c r="A1" t="inlineStr">
        <is>
          <t>Practice</t>
        </is>
      </c>
      <c r="B1" t="inlineStr">
        <is>
          <t>Score</t>
        </is>
      </c>
    </row>
    <row r="2">
      <c r="A2" t="inlineStr">
        <is>
          <t>G.1 Perform compliance</t>
        </is>
      </c>
      <c r="B2">
        <f>DataEntry!E16</f>
        <v/>
      </c>
    </row>
    <row r="3">
      <c r="A3" t="inlineStr">
        <is>
          <t>G.2 Develop security policies</t>
        </is>
      </c>
      <c r="B3">
        <f>DataEntry!E22</f>
        <v/>
      </c>
    </row>
    <row r="4">
      <c r="A4" t="inlineStr">
        <is>
          <t>G.3 Manage suppliers</t>
        </is>
      </c>
      <c r="B4">
        <f>DataEntry!E29</f>
        <v/>
      </c>
    </row>
    <row r="5">
      <c r="A5" t="inlineStr">
        <is>
          <t>G.4 Training</t>
        </is>
      </c>
      <c r="B5">
        <f>DataEntry!E35</f>
        <v/>
      </c>
    </row>
    <row r="6">
      <c r="A6" t="inlineStr">
        <is>
          <t>G.5 Assess and manage risk</t>
        </is>
      </c>
      <c r="B6">
        <f>DataEntry!E39</f>
        <v/>
      </c>
    </row>
    <row r="7">
      <c r="A7" t="inlineStr">
        <is>
          <t>P.1 Develop security requirements</t>
        </is>
      </c>
      <c r="B7">
        <f>DataEntry!E45</f>
        <v/>
      </c>
    </row>
    <row r="8">
      <c r="A8" t="inlineStr">
        <is>
          <t>P.2 Build security in</t>
        </is>
      </c>
      <c r="B8">
        <f>DataEntry!E48</f>
        <v/>
      </c>
    </row>
    <row r="9">
      <c r="A9" t="inlineStr">
        <is>
          <t>P.3 Manage component and container choices</t>
        </is>
      </c>
      <c r="B9">
        <f>DataEntry!E54</f>
        <v/>
      </c>
    </row>
    <row r="10">
      <c r="A10" t="inlineStr">
        <is>
          <t>P.4 Discover vulnerabilities</t>
        </is>
      </c>
      <c r="B10">
        <f>DataEntry!E60</f>
        <v/>
      </c>
    </row>
    <row r="11">
      <c r="A11" t="inlineStr">
        <is>
          <t>P.5 Manage vulnerable components and containers</t>
        </is>
      </c>
      <c r="B11">
        <f>DataEntry!E66</f>
        <v/>
      </c>
    </row>
    <row r="12">
      <c r="A12" t="inlineStr">
        <is>
          <t>E.1 Safeguard artifact integrity</t>
        </is>
      </c>
      <c r="B12">
        <f>DataEntry!E70</f>
        <v/>
      </c>
    </row>
    <row r="13">
      <c r="A13" t="inlineStr">
        <is>
          <t>E.2 Safeguard build integrity</t>
        </is>
      </c>
      <c r="B13">
        <f>DataEntry!E77</f>
        <v/>
      </c>
    </row>
    <row r="14">
      <c r="A14" t="inlineStr">
        <is>
          <t>E.3 Secure software development environment</t>
        </is>
      </c>
      <c r="B14">
        <f>DataEntry!E85</f>
        <v/>
      </c>
    </row>
    <row r="15">
      <c r="A15" t="inlineStr">
        <is>
          <t>D.1 Respond to/disclose vulnerabilities</t>
        </is>
      </c>
      <c r="B15">
        <f>DataEntry!E97</f>
        <v/>
      </c>
    </row>
    <row r="16">
      <c r="A16" t="inlineStr">
        <is>
          <t>D.2 Monitor intrusions/violations</t>
        </is>
      </c>
      <c r="B16">
        <f>DataEntry!E104</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2025-02-12T13:17:05Z</dcterms:created>
  <dcterms:modified xmlns:dcterms="http://purl.org/dc/terms/" xmlns:xsi="http://www.w3.org/2001/XMLSchema-instance" xsi:type="dcterms:W3CDTF">2025-10-06T20:16:31Z</dcterms:modified>
  <cp:lastModifiedBy>Patrick Morrison</cp:lastModifiedBy>
</cp:coreProperties>
</file>